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rojetos_Python\Dashboard_Sauipe\dados\01 a 15-02\"/>
    </mc:Choice>
  </mc:AlternateContent>
  <xr:revisionPtr revIDLastSave="7" documentId="13_ncr:1_{003BDE5D-5FAB-4209-8230-D2D00BA08D0C}" xr6:coauthVersionLast="47" xr6:coauthVersionMax="47" xr10:uidLastSave="{C4FA3EF8-86E4-4C68-A663-D9553136A622}"/>
  <bookViews>
    <workbookView xWindow="28680" yWindow="-120" windowWidth="29040" windowHeight="15720" activeTab="1" xr2:uid="{BAE7E909-A9ED-4488-BF07-0D01A6757217}"/>
  </bookViews>
  <sheets>
    <sheet name="HISTOGRAMA" sheetId="1" r:id="rId1"/>
    <sheet name="HISTOGRAMA_EXCEDENTE" sheetId="2" r:id="rId2"/>
  </sheets>
  <definedNames>
    <definedName name="_xlnm._FilterDatabase" localSheetId="0" hidden="1">HISTOGRAMA!$A$4:$O$127</definedName>
    <definedName name="_xlnm._FilterDatabase" localSheetId="1" hidden="1">HISTOGRAMA_EXCEDENTE!$A$4:$N$87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2" l="1"/>
  <c r="AJ4" i="2"/>
  <c r="Q3" i="2"/>
  <c r="P3" i="2"/>
  <c r="O3" i="2"/>
  <c r="Q3" i="1"/>
  <c r="P3" i="1"/>
  <c r="N3" i="2" l="1"/>
  <c r="M3" i="2"/>
  <c r="L3" i="2"/>
  <c r="K3" i="2"/>
  <c r="J3" i="2"/>
  <c r="I3" i="2"/>
  <c r="H3" i="2"/>
  <c r="G3" i="2"/>
  <c r="F3" i="2"/>
  <c r="E3" i="2"/>
  <c r="D3" i="2"/>
  <c r="O3" i="1"/>
  <c r="N3" i="1"/>
  <c r="M3" i="1"/>
  <c r="L3" i="1"/>
  <c r="K3" i="1"/>
  <c r="J3" i="1"/>
  <c r="I3" i="1"/>
  <c r="H3" i="1"/>
  <c r="G3" i="1"/>
  <c r="F3" i="1"/>
  <c r="E3" i="1"/>
  <c r="D3" i="1"/>
</calcChain>
</file>

<file path=xl/sharedStrings.xml><?xml version="1.0" encoding="utf-8"?>
<sst xmlns="http://schemas.openxmlformats.org/spreadsheetml/2006/main" count="350" uniqueCount="96">
  <si>
    <t>PERFORMANCE</t>
  </si>
  <si>
    <t>CCUSTO</t>
  </si>
  <si>
    <t>CARGO</t>
  </si>
  <si>
    <t>QUI</t>
  </si>
  <si>
    <t>SEX</t>
  </si>
  <si>
    <t>SÁB</t>
  </si>
  <si>
    <t>DOM</t>
  </si>
  <si>
    <t>SEG</t>
  </si>
  <si>
    <t>TER</t>
  </si>
  <si>
    <t>QUA</t>
  </si>
  <si>
    <t>SUBTOTAL (FILTRO)</t>
  </si>
  <si>
    <t>CAIXA - 15:20</t>
  </si>
  <si>
    <t>MOTORISTA - 08:00</t>
  </si>
  <si>
    <t>ARRUMADOR - 08:00</t>
  </si>
  <si>
    <t>ARRUMADOR - 11:00</t>
  </si>
  <si>
    <t>ARRUMADOR - 15:20</t>
  </si>
  <si>
    <t>CAMAREIRA - 08:00</t>
  </si>
  <si>
    <t>CAMAREIRA - 11:00</t>
  </si>
  <si>
    <t>CAMAREIRA - 15:20</t>
  </si>
  <si>
    <t>COSTUREIRA - 08:00</t>
  </si>
  <si>
    <t>INSPETOR DE GOVERNANÇA - 08:00</t>
  </si>
  <si>
    <t>ROUPEIRO - 08:00</t>
  </si>
  <si>
    <t>ROUPEIRO - 11:00</t>
  </si>
  <si>
    <t>CONCIERGE - 07:00</t>
  </si>
  <si>
    <t>RECEPCIONISTA - 07:00</t>
  </si>
  <si>
    <t>RECEPCIONISTA - 08:00</t>
  </si>
  <si>
    <t>RECEPCIONISTA - 11:00</t>
  </si>
  <si>
    <t>RECEPCIONISTA - 15:20</t>
  </si>
  <si>
    <t>01/02</t>
  </si>
  <si>
    <t>02/02</t>
  </si>
  <si>
    <t>03/02</t>
  </si>
  <si>
    <t>04/02</t>
  </si>
  <si>
    <t>05/02</t>
  </si>
  <si>
    <t>06/02</t>
  </si>
  <si>
    <t>07/02</t>
  </si>
  <si>
    <t>08/02</t>
  </si>
  <si>
    <t>09/02</t>
  </si>
  <si>
    <t>10/02</t>
  </si>
  <si>
    <t>11/02</t>
  </si>
  <si>
    <t>12/02</t>
  </si>
  <si>
    <t>GERAL</t>
  </si>
  <si>
    <t>2º COZINHEIRO - 08:00</t>
  </si>
  <si>
    <t>2º COZINHEIRO - 11:00</t>
  </si>
  <si>
    <t>2º COZINHEIRO - 15:20</t>
  </si>
  <si>
    <t>2º COZINHEIRO - 23:20</t>
  </si>
  <si>
    <t>2º COZINHEIRO - BAIANA - 08:00</t>
  </si>
  <si>
    <t>AJUDANTE DE COZINHA - 07:00</t>
  </si>
  <si>
    <t>AJUDANTE DE COZINHA - 08:00</t>
  </si>
  <si>
    <t>AJUDANTE DE COZINHA - 11:00</t>
  </si>
  <si>
    <t>AJUDANTE DE COZINHA - 15:20</t>
  </si>
  <si>
    <t>AJUDANTE DE COZINHA - 23:20</t>
  </si>
  <si>
    <t>ATENDENTE DE MESA - 08:00</t>
  </si>
  <si>
    <t>ATENDENTE DE RECEPTIVO - 08:00</t>
  </si>
  <si>
    <t>ATENDENTE DE RECEPTIVO - 11:00</t>
  </si>
  <si>
    <t>AUXILIAR DE LIMPEZA - 08:00</t>
  </si>
  <si>
    <t>AUXILIAR DE LIMPEZA - 11:00</t>
  </si>
  <si>
    <t>AUXILIAR DE LIMPEZA - 15:20</t>
  </si>
  <si>
    <t>AUXILIAR DE LIMPEZA - 23:20</t>
  </si>
  <si>
    <t>AUXILIAR DE PRAIA - 07:00</t>
  </si>
  <si>
    <t>AUXILIAR DE PRAIA - 11:00</t>
  </si>
  <si>
    <t>BARMAN - 07:00</t>
  </si>
  <si>
    <t>BARMAN - 08:00</t>
  </si>
  <si>
    <t>BARMAN - 11:00</t>
  </si>
  <si>
    <t>BARMAN - 15:20</t>
  </si>
  <si>
    <t>BARMAN - 19:00</t>
  </si>
  <si>
    <t>CAIXA - 08:00</t>
  </si>
  <si>
    <t>CAIXA - 23:20</t>
  </si>
  <si>
    <t>CAMAREIRA - 23:20</t>
  </si>
  <si>
    <t>GARÇOM - 07:00</t>
  </si>
  <si>
    <t>GARÇOM - 08:00</t>
  </si>
  <si>
    <t>GARÇOM - 11:00</t>
  </si>
  <si>
    <t>GARÇOM - 15:20</t>
  </si>
  <si>
    <t>GARÇOM - 19:00</t>
  </si>
  <si>
    <t>GARÇOM - 23:20</t>
  </si>
  <si>
    <t>MENSAGEIRO - 07:00</t>
  </si>
  <si>
    <t>MENSAGEIRO - 08:00</t>
  </si>
  <si>
    <t>MENSAGEIRO - 11:00</t>
  </si>
  <si>
    <t>MENSAGEIRO - 15:20</t>
  </si>
  <si>
    <t>MONTADOR - 07:00</t>
  </si>
  <si>
    <t>MONTADOR - 08:00</t>
  </si>
  <si>
    <t>MONTADOR - 11:00</t>
  </si>
  <si>
    <t>MONTADOR - 15:20</t>
  </si>
  <si>
    <t>MONTADOR - 23:20</t>
  </si>
  <si>
    <t>RECEPCIONISTA - 23:20</t>
  </si>
  <si>
    <t>SALVA-VIDAS - 07:00</t>
  </si>
  <si>
    <t>STEWARD - 07:00</t>
  </si>
  <si>
    <t>STEWARD - 08:00</t>
  </si>
  <si>
    <t>STEWARD - 15:20</t>
  </si>
  <si>
    <t>STEWARD - 19:00</t>
  </si>
  <si>
    <t>STEWARD - 23:20</t>
  </si>
  <si>
    <t>SUPERVISOR DE LIMPEZA - 08:00</t>
  </si>
  <si>
    <t>SUPERVISOR DE LIMPEZA - 15:20</t>
  </si>
  <si>
    <t>SUPERVISOR DE LIMPEZA - 23:20</t>
  </si>
  <si>
    <t>13/02</t>
  </si>
  <si>
    <t>14/02</t>
  </si>
  <si>
    <t>15/02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</si>
</sst>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37815-C5A2-4226-9F37-0720A4C4980B}">
  <dimension ref="A1:AJ127"/>
  <sheetViews>
    <sheetView zoomScaleNormal="100" workbookViewId="0">
      <pane xSplit="3" ySplit="4" topLeftCell="D5" activePane="bottomRight" state="frozen"/>
      <selection activeCell="D3" sqref="D3:AB3"/>
      <selection pane="topRight" activeCell="D3" sqref="D3:AB3"/>
      <selection pane="bottomLeft" activeCell="D3" sqref="D3:AB3"/>
      <selection pane="bottomRight" activeCell="V5" sqref="V5:AJ5"/>
    </sheetView>
  </sheetViews>
  <sheetFormatPr defaultRowHeight="14.4" x14ac:dyDescent="0.3"/>
  <cols>
    <col min="1" max="1" width="18.5546875" bestFit="1" customWidth="1"/>
    <col min="2" max="2" width="12.33203125" bestFit="1" customWidth="1"/>
    <col min="3" max="3" width="30.77734375" bestFit="1" customWidth="1"/>
    <col min="4" max="15" width="10.33203125" bestFit="1" customWidth="1"/>
    <col min="16" max="18" width="5.88671875" bestFit="1" customWidth="1"/>
  </cols>
  <sheetData>
    <row r="1" spans="1:36" ht="18" customHeight="1" x14ac:dyDescent="0.3">
      <c r="A1" s="5" t="s">
        <v>0</v>
      </c>
      <c r="B1" s="5" t="s">
        <v>1</v>
      </c>
      <c r="C1" s="5" t="s">
        <v>2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3</v>
      </c>
      <c r="P1" s="1" t="s">
        <v>4</v>
      </c>
      <c r="Q1" s="1" t="s">
        <v>5</v>
      </c>
      <c r="R1" s="1" t="s">
        <v>6</v>
      </c>
    </row>
    <row r="2" spans="1:36" ht="18" customHeight="1" x14ac:dyDescent="0.3">
      <c r="A2" s="5"/>
      <c r="B2" s="5"/>
      <c r="C2" s="5"/>
      <c r="D2" s="1">
        <v>1</v>
      </c>
      <c r="E2" s="1">
        <v>2</v>
      </c>
      <c r="F2" s="1">
        <v>3</v>
      </c>
      <c r="G2" s="1">
        <v>4</v>
      </c>
      <c r="H2" s="1">
        <v>5</v>
      </c>
      <c r="I2" s="1">
        <v>6</v>
      </c>
      <c r="J2" s="1">
        <v>7</v>
      </c>
      <c r="K2" s="1">
        <v>8</v>
      </c>
      <c r="L2" s="1">
        <v>9</v>
      </c>
      <c r="M2" s="1">
        <v>10</v>
      </c>
      <c r="N2" s="1">
        <v>11</v>
      </c>
      <c r="O2" s="1">
        <v>12</v>
      </c>
      <c r="P2" s="1">
        <v>13</v>
      </c>
      <c r="Q2" s="1">
        <v>14</v>
      </c>
      <c r="R2" s="1">
        <v>15</v>
      </c>
    </row>
    <row r="3" spans="1:36" ht="18" customHeight="1" x14ac:dyDescent="0.3">
      <c r="A3" s="2" t="s">
        <v>10</v>
      </c>
      <c r="B3" s="2"/>
      <c r="C3" s="2"/>
      <c r="D3" s="3">
        <f t="shared" ref="D3:Q3" si="0">SUBTOTAL(109,D5:D1048576)</f>
        <v>0</v>
      </c>
      <c r="E3" s="3">
        <f t="shared" si="0"/>
        <v>0</v>
      </c>
      <c r="F3" s="3">
        <f t="shared" si="0"/>
        <v>0</v>
      </c>
      <c r="G3" s="3">
        <f t="shared" si="0"/>
        <v>0</v>
      </c>
      <c r="H3" s="3">
        <f t="shared" si="0"/>
        <v>0</v>
      </c>
      <c r="I3" s="3">
        <f t="shared" si="0"/>
        <v>0</v>
      </c>
      <c r="J3" s="3">
        <f t="shared" si="0"/>
        <v>0</v>
      </c>
      <c r="K3" s="3">
        <f t="shared" si="0"/>
        <v>0</v>
      </c>
      <c r="L3" s="3">
        <f t="shared" si="0"/>
        <v>296</v>
      </c>
      <c r="M3" s="3">
        <f t="shared" si="0"/>
        <v>303</v>
      </c>
      <c r="N3" s="3">
        <f t="shared" si="0"/>
        <v>284</v>
      </c>
      <c r="O3" s="3">
        <f t="shared" si="0"/>
        <v>265</v>
      </c>
      <c r="P3" s="3">
        <f t="shared" si="0"/>
        <v>273</v>
      </c>
      <c r="Q3" s="3">
        <f t="shared" si="0"/>
        <v>322</v>
      </c>
      <c r="R3" s="3">
        <v>456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296</v>
      </c>
      <c r="AE3">
        <v>303</v>
      </c>
      <c r="AF3">
        <v>284</v>
      </c>
      <c r="AG3">
        <v>265</v>
      </c>
      <c r="AH3">
        <v>273</v>
      </c>
      <c r="AI3">
        <v>322</v>
      </c>
      <c r="AJ3">
        <v>456</v>
      </c>
    </row>
    <row r="4" spans="1:36" ht="18" customHeight="1" x14ac:dyDescent="0.3">
      <c r="A4" s="1" t="s">
        <v>0</v>
      </c>
      <c r="B4" s="1" t="s">
        <v>1</v>
      </c>
      <c r="C4" s="1" t="s">
        <v>2</v>
      </c>
      <c r="D4" s="1" t="s">
        <v>28</v>
      </c>
      <c r="E4" s="1" t="s">
        <v>29</v>
      </c>
      <c r="F4" s="1" t="s">
        <v>30</v>
      </c>
      <c r="G4" s="1" t="s">
        <v>31</v>
      </c>
      <c r="H4" s="1" t="s">
        <v>32</v>
      </c>
      <c r="I4" s="1" t="s">
        <v>33</v>
      </c>
      <c r="J4" s="1" t="s">
        <v>34</v>
      </c>
      <c r="K4" s="1" t="s">
        <v>35</v>
      </c>
      <c r="L4" s="1" t="s">
        <v>36</v>
      </c>
      <c r="M4" s="1" t="s">
        <v>37</v>
      </c>
      <c r="N4" s="1" t="s">
        <v>38</v>
      </c>
      <c r="O4" s="1" t="s">
        <v>39</v>
      </c>
      <c r="P4" s="1" t="s">
        <v>93</v>
      </c>
      <c r="Q4" s="1" t="s">
        <v>94</v>
      </c>
      <c r="R4" s="1" t="s">
        <v>95</v>
      </c>
      <c r="V4">
        <v>561</v>
      </c>
      <c r="W4">
        <v>379</v>
      </c>
      <c r="X4">
        <v>359</v>
      </c>
      <c r="Y4">
        <v>409</v>
      </c>
      <c r="Z4">
        <v>366</v>
      </c>
      <c r="AA4">
        <v>355</v>
      </c>
      <c r="AB4">
        <v>309</v>
      </c>
      <c r="AC4">
        <v>462</v>
      </c>
      <c r="AD4">
        <v>39</v>
      </c>
      <c r="AE4">
        <v>61</v>
      </c>
      <c r="AF4">
        <v>62</v>
      </c>
      <c r="AG4">
        <v>30</v>
      </c>
      <c r="AH4">
        <v>20</v>
      </c>
      <c r="AI4">
        <v>19</v>
      </c>
      <c r="AJ4">
        <v>58</v>
      </c>
    </row>
    <row r="5" spans="1:36" x14ac:dyDescent="0.3">
      <c r="A5" t="s">
        <v>40</v>
      </c>
      <c r="C5" t="s">
        <v>41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1</v>
      </c>
      <c r="R5" s="4">
        <v>0</v>
      </c>
      <c r="V5">
        <v>561</v>
      </c>
      <c r="W5">
        <v>379</v>
      </c>
      <c r="X5">
        <v>359</v>
      </c>
      <c r="Y5">
        <v>409</v>
      </c>
      <c r="Z5">
        <v>366</v>
      </c>
      <c r="AA5">
        <v>355</v>
      </c>
      <c r="AB5">
        <v>309</v>
      </c>
      <c r="AC5">
        <v>462</v>
      </c>
      <c r="AD5">
        <v>335</v>
      </c>
      <c r="AE5">
        <v>364</v>
      </c>
      <c r="AF5">
        <v>346</v>
      </c>
      <c r="AG5">
        <v>295</v>
      </c>
      <c r="AH5">
        <v>293</v>
      </c>
      <c r="AI5">
        <v>341</v>
      </c>
      <c r="AJ5">
        <v>514</v>
      </c>
    </row>
    <row r="6" spans="1:36" x14ac:dyDescent="0.3">
      <c r="A6" t="s">
        <v>40</v>
      </c>
      <c r="C6" t="s">
        <v>42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1</v>
      </c>
    </row>
    <row r="7" spans="1:36" x14ac:dyDescent="0.3">
      <c r="A7" t="s">
        <v>40</v>
      </c>
      <c r="C7" t="s">
        <v>43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1</v>
      </c>
      <c r="R7" s="4">
        <v>0</v>
      </c>
    </row>
    <row r="8" spans="1:36" x14ac:dyDescent="0.3">
      <c r="A8" t="s">
        <v>40</v>
      </c>
      <c r="C8" t="s">
        <v>44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2</v>
      </c>
      <c r="M8" s="4">
        <v>0</v>
      </c>
      <c r="N8" s="4">
        <v>1</v>
      </c>
      <c r="O8" s="4">
        <v>0</v>
      </c>
      <c r="P8" s="4">
        <v>0</v>
      </c>
      <c r="Q8" s="4">
        <v>0</v>
      </c>
      <c r="R8" s="4">
        <v>1</v>
      </c>
    </row>
    <row r="9" spans="1:36" x14ac:dyDescent="0.3">
      <c r="A9" t="s">
        <v>40</v>
      </c>
      <c r="C9" t="s">
        <v>45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1</v>
      </c>
      <c r="P9" s="4">
        <v>0</v>
      </c>
      <c r="Q9" s="4">
        <v>0</v>
      </c>
      <c r="R9" s="4">
        <v>0</v>
      </c>
    </row>
    <row r="10" spans="1:36" x14ac:dyDescent="0.3">
      <c r="A10" t="s">
        <v>40</v>
      </c>
      <c r="C10" t="s">
        <v>46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22</v>
      </c>
      <c r="M10" s="4">
        <v>29</v>
      </c>
      <c r="N10" s="4">
        <v>25</v>
      </c>
      <c r="O10" s="4">
        <v>21</v>
      </c>
      <c r="P10" s="4">
        <v>21</v>
      </c>
      <c r="Q10" s="4">
        <v>24</v>
      </c>
      <c r="R10" s="4">
        <v>1</v>
      </c>
    </row>
    <row r="11" spans="1:36" x14ac:dyDescent="0.3">
      <c r="A11" t="s">
        <v>40</v>
      </c>
      <c r="C11" t="s">
        <v>47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4</v>
      </c>
      <c r="N11" s="4">
        <v>2</v>
      </c>
      <c r="O11" s="4">
        <v>3</v>
      </c>
      <c r="P11" s="4">
        <v>2</v>
      </c>
      <c r="Q11" s="4">
        <v>3</v>
      </c>
      <c r="R11" s="4">
        <v>0</v>
      </c>
    </row>
    <row r="12" spans="1:36" x14ac:dyDescent="0.3">
      <c r="A12" t="s">
        <v>40</v>
      </c>
      <c r="C12" t="s">
        <v>48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2</v>
      </c>
      <c r="M12" s="4">
        <v>4</v>
      </c>
      <c r="N12" s="4">
        <v>3</v>
      </c>
      <c r="O12" s="4">
        <v>3</v>
      </c>
      <c r="P12" s="4">
        <v>2</v>
      </c>
      <c r="Q12" s="4">
        <v>2</v>
      </c>
      <c r="R12" s="4">
        <v>0</v>
      </c>
    </row>
    <row r="13" spans="1:36" x14ac:dyDescent="0.3">
      <c r="A13" t="s">
        <v>40</v>
      </c>
      <c r="C13" t="s">
        <v>49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25</v>
      </c>
      <c r="M13" s="4">
        <v>29</v>
      </c>
      <c r="N13" s="4">
        <v>28</v>
      </c>
      <c r="O13" s="4">
        <v>26</v>
      </c>
      <c r="P13" s="4">
        <v>24</v>
      </c>
      <c r="Q13" s="4">
        <v>26</v>
      </c>
      <c r="R13" s="4">
        <v>44</v>
      </c>
    </row>
    <row r="14" spans="1:36" x14ac:dyDescent="0.3">
      <c r="A14" t="s">
        <v>40</v>
      </c>
      <c r="C14" t="s">
        <v>50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3</v>
      </c>
      <c r="M14" s="4">
        <v>5</v>
      </c>
      <c r="N14" s="4">
        <v>4</v>
      </c>
      <c r="O14" s="4">
        <v>5</v>
      </c>
      <c r="P14" s="4">
        <v>5</v>
      </c>
      <c r="Q14" s="4">
        <v>4</v>
      </c>
      <c r="R14" s="4">
        <v>1</v>
      </c>
    </row>
    <row r="15" spans="1:36" x14ac:dyDescent="0.3">
      <c r="A15" t="s">
        <v>40</v>
      </c>
      <c r="C15" t="s">
        <v>13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7</v>
      </c>
      <c r="M15" s="4">
        <v>7</v>
      </c>
      <c r="N15" s="4">
        <v>7</v>
      </c>
      <c r="O15" s="4">
        <v>7</v>
      </c>
      <c r="P15" s="4">
        <v>7</v>
      </c>
      <c r="Q15" s="4">
        <v>7</v>
      </c>
      <c r="R15" s="4">
        <v>3</v>
      </c>
    </row>
    <row r="16" spans="1:36" x14ac:dyDescent="0.3">
      <c r="A16" t="s">
        <v>40</v>
      </c>
      <c r="C16" t="s">
        <v>14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1</v>
      </c>
      <c r="M16" s="4">
        <v>1</v>
      </c>
      <c r="N16" s="4">
        <v>1</v>
      </c>
      <c r="O16" s="4">
        <v>1</v>
      </c>
      <c r="P16" s="4">
        <v>0</v>
      </c>
      <c r="Q16" s="4">
        <v>1</v>
      </c>
      <c r="R16" s="4">
        <v>38</v>
      </c>
    </row>
    <row r="17" spans="1:18" x14ac:dyDescent="0.3">
      <c r="A17" t="s">
        <v>40</v>
      </c>
      <c r="C17" t="s">
        <v>15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2</v>
      </c>
      <c r="M17" s="4">
        <v>1</v>
      </c>
      <c r="N17" s="4">
        <v>1</v>
      </c>
      <c r="O17" s="4">
        <v>0</v>
      </c>
      <c r="P17" s="4">
        <v>1</v>
      </c>
      <c r="Q17" s="4">
        <v>0</v>
      </c>
      <c r="R17" s="4">
        <v>5</v>
      </c>
    </row>
    <row r="18" spans="1:18" x14ac:dyDescent="0.3">
      <c r="A18" t="s">
        <v>40</v>
      </c>
      <c r="C18" t="s">
        <v>51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2</v>
      </c>
      <c r="M18" s="4">
        <v>2</v>
      </c>
      <c r="N18" s="4">
        <v>2</v>
      </c>
      <c r="O18" s="4">
        <v>2</v>
      </c>
      <c r="P18" s="4">
        <v>2</v>
      </c>
      <c r="Q18" s="4">
        <v>2</v>
      </c>
      <c r="R18" s="4">
        <v>7</v>
      </c>
    </row>
    <row r="19" spans="1:18" x14ac:dyDescent="0.3">
      <c r="A19" t="s">
        <v>40</v>
      </c>
      <c r="C19" t="s">
        <v>52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1</v>
      </c>
    </row>
    <row r="20" spans="1:18" x14ac:dyDescent="0.3">
      <c r="A20" t="s">
        <v>40</v>
      </c>
      <c r="C20" t="s">
        <v>53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2</v>
      </c>
    </row>
    <row r="21" spans="1:18" x14ac:dyDescent="0.3">
      <c r="A21" t="s">
        <v>40</v>
      </c>
      <c r="C21" t="s">
        <v>54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18</v>
      </c>
      <c r="M21" s="4">
        <v>19</v>
      </c>
      <c r="N21" s="4">
        <v>18</v>
      </c>
      <c r="O21" s="4">
        <v>15</v>
      </c>
      <c r="P21" s="4">
        <v>14</v>
      </c>
      <c r="Q21" s="4">
        <v>14</v>
      </c>
      <c r="R21" s="4">
        <v>1</v>
      </c>
    </row>
    <row r="22" spans="1:18" x14ac:dyDescent="0.3">
      <c r="A22" t="s">
        <v>40</v>
      </c>
      <c r="C22" t="s">
        <v>55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1</v>
      </c>
    </row>
    <row r="23" spans="1:18" x14ac:dyDescent="0.3">
      <c r="A23" t="s">
        <v>40</v>
      </c>
      <c r="C23" t="s">
        <v>56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16</v>
      </c>
      <c r="M23" s="4">
        <v>17</v>
      </c>
      <c r="N23" s="4">
        <v>16</v>
      </c>
      <c r="O23" s="4">
        <v>12</v>
      </c>
      <c r="P23" s="4">
        <v>12</v>
      </c>
      <c r="Q23" s="4">
        <v>12</v>
      </c>
      <c r="R23" s="4">
        <v>0</v>
      </c>
    </row>
    <row r="24" spans="1:18" x14ac:dyDescent="0.3">
      <c r="A24" t="s">
        <v>40</v>
      </c>
      <c r="C24" t="s">
        <v>57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7</v>
      </c>
      <c r="M24" s="4">
        <v>7</v>
      </c>
      <c r="N24" s="4">
        <v>7</v>
      </c>
      <c r="O24" s="4">
        <v>7</v>
      </c>
      <c r="P24" s="4">
        <v>7</v>
      </c>
      <c r="Q24" s="4">
        <v>7</v>
      </c>
      <c r="R24" s="4">
        <v>14</v>
      </c>
    </row>
    <row r="25" spans="1:18" x14ac:dyDescent="0.3">
      <c r="A25" t="s">
        <v>40</v>
      </c>
      <c r="C25" t="s">
        <v>58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4</v>
      </c>
      <c r="M25" s="4">
        <v>4</v>
      </c>
      <c r="N25" s="4">
        <v>4</v>
      </c>
      <c r="O25" s="4">
        <v>4</v>
      </c>
      <c r="P25" s="4">
        <v>4</v>
      </c>
      <c r="Q25" s="4">
        <v>4</v>
      </c>
      <c r="R25" s="4">
        <v>0</v>
      </c>
    </row>
    <row r="26" spans="1:18" x14ac:dyDescent="0.3">
      <c r="A26" t="s">
        <v>40</v>
      </c>
      <c r="C26" t="s">
        <v>59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4</v>
      </c>
      <c r="M26" s="4">
        <v>4</v>
      </c>
      <c r="N26" s="4">
        <v>4</v>
      </c>
      <c r="O26" s="4">
        <v>4</v>
      </c>
      <c r="P26" s="4">
        <v>4</v>
      </c>
      <c r="Q26" s="4">
        <v>4</v>
      </c>
      <c r="R26" s="4">
        <v>12</v>
      </c>
    </row>
    <row r="27" spans="1:18" x14ac:dyDescent="0.3">
      <c r="A27" t="s">
        <v>40</v>
      </c>
      <c r="C27" t="s">
        <v>60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2</v>
      </c>
      <c r="O27" s="4">
        <v>0</v>
      </c>
      <c r="P27" s="4">
        <v>0</v>
      </c>
      <c r="Q27" s="4">
        <v>0</v>
      </c>
      <c r="R27" s="4">
        <v>7</v>
      </c>
    </row>
    <row r="28" spans="1:18" x14ac:dyDescent="0.3">
      <c r="A28" t="s">
        <v>40</v>
      </c>
      <c r="C28" t="s">
        <v>61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4</v>
      </c>
      <c r="M28" s="4">
        <v>5</v>
      </c>
      <c r="N28" s="4">
        <v>4</v>
      </c>
      <c r="O28" s="4">
        <v>3</v>
      </c>
      <c r="P28" s="4">
        <v>3</v>
      </c>
      <c r="Q28" s="4">
        <v>4</v>
      </c>
      <c r="R28" s="4">
        <v>4</v>
      </c>
    </row>
    <row r="29" spans="1:18" x14ac:dyDescent="0.3">
      <c r="A29" t="s">
        <v>40</v>
      </c>
      <c r="C29" t="s">
        <v>62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9</v>
      </c>
      <c r="M29" s="4">
        <v>9</v>
      </c>
      <c r="N29" s="4">
        <v>11</v>
      </c>
      <c r="O29" s="4">
        <v>10</v>
      </c>
      <c r="P29" s="4">
        <v>9</v>
      </c>
      <c r="Q29" s="4">
        <v>10</v>
      </c>
      <c r="R29" s="4">
        <v>4</v>
      </c>
    </row>
    <row r="30" spans="1:18" x14ac:dyDescent="0.3">
      <c r="A30" t="s">
        <v>40</v>
      </c>
      <c r="C30" t="s">
        <v>63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7</v>
      </c>
      <c r="M30" s="4">
        <v>4</v>
      </c>
      <c r="N30" s="4">
        <v>7</v>
      </c>
      <c r="O30" s="4">
        <v>5</v>
      </c>
      <c r="P30" s="4">
        <v>5</v>
      </c>
      <c r="Q30" s="4">
        <v>7</v>
      </c>
      <c r="R30" s="4">
        <v>1</v>
      </c>
    </row>
    <row r="31" spans="1:18" x14ac:dyDescent="0.3">
      <c r="A31" t="s">
        <v>40</v>
      </c>
      <c r="C31" t="s">
        <v>64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1</v>
      </c>
      <c r="M31" s="4">
        <v>0</v>
      </c>
      <c r="N31" s="4">
        <v>1</v>
      </c>
      <c r="O31" s="4">
        <v>1</v>
      </c>
      <c r="P31" s="4">
        <v>0</v>
      </c>
      <c r="Q31" s="4">
        <v>0</v>
      </c>
      <c r="R31" s="4">
        <v>7</v>
      </c>
    </row>
    <row r="32" spans="1:18" x14ac:dyDescent="0.3">
      <c r="A32" t="s">
        <v>40</v>
      </c>
      <c r="C32" t="s">
        <v>65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14</v>
      </c>
    </row>
    <row r="33" spans="1:18" x14ac:dyDescent="0.3">
      <c r="A33" t="s">
        <v>40</v>
      </c>
      <c r="C33" t="s">
        <v>11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>
        <v>10</v>
      </c>
    </row>
    <row r="34" spans="1:18" x14ac:dyDescent="0.3">
      <c r="A34" t="s">
        <v>40</v>
      </c>
      <c r="C34" t="s">
        <v>66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1</v>
      </c>
    </row>
    <row r="35" spans="1:18" x14ac:dyDescent="0.3">
      <c r="A35" t="s">
        <v>40</v>
      </c>
      <c r="C35" t="s">
        <v>16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26</v>
      </c>
      <c r="M35" s="4">
        <v>25</v>
      </c>
      <c r="N35" s="4">
        <v>12</v>
      </c>
      <c r="O35" s="4">
        <v>16</v>
      </c>
      <c r="P35" s="4">
        <v>16</v>
      </c>
      <c r="Q35" s="4">
        <v>21</v>
      </c>
      <c r="R35" s="4">
        <v>0</v>
      </c>
    </row>
    <row r="36" spans="1:18" x14ac:dyDescent="0.3">
      <c r="A36" t="s">
        <v>40</v>
      </c>
      <c r="C36" t="s">
        <v>17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1</v>
      </c>
    </row>
    <row r="37" spans="1:18" x14ac:dyDescent="0.3">
      <c r="A37" t="s">
        <v>40</v>
      </c>
      <c r="C37" t="s">
        <v>18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1</v>
      </c>
      <c r="M37" s="4">
        <v>0</v>
      </c>
      <c r="N37" s="4">
        <v>0</v>
      </c>
      <c r="O37" s="4">
        <v>1</v>
      </c>
      <c r="P37" s="4">
        <v>0</v>
      </c>
      <c r="Q37" s="4">
        <v>0</v>
      </c>
      <c r="R37" s="4">
        <v>0</v>
      </c>
    </row>
    <row r="38" spans="1:18" x14ac:dyDescent="0.3">
      <c r="A38" t="s">
        <v>40</v>
      </c>
      <c r="C38" t="s">
        <v>67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1</v>
      </c>
      <c r="Q38" s="4">
        <v>1</v>
      </c>
      <c r="R38" s="4">
        <v>59</v>
      </c>
    </row>
    <row r="39" spans="1:18" x14ac:dyDescent="0.3">
      <c r="A39" t="s">
        <v>40</v>
      </c>
      <c r="C39" t="s">
        <v>23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1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>
        <v>0</v>
      </c>
    </row>
    <row r="40" spans="1:18" x14ac:dyDescent="0.3">
      <c r="A40" t="s">
        <v>40</v>
      </c>
      <c r="C40" t="s">
        <v>19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1</v>
      </c>
      <c r="M40" s="4">
        <v>1</v>
      </c>
      <c r="N40" s="4">
        <v>1</v>
      </c>
      <c r="O40" s="4">
        <v>1</v>
      </c>
      <c r="P40" s="4">
        <v>1</v>
      </c>
      <c r="Q40" s="4">
        <v>0</v>
      </c>
      <c r="R40" s="4">
        <v>4</v>
      </c>
    </row>
    <row r="41" spans="1:18" x14ac:dyDescent="0.3">
      <c r="A41" t="s">
        <v>40</v>
      </c>
      <c r="C41" t="s">
        <v>68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28</v>
      </c>
      <c r="M41" s="4">
        <v>24</v>
      </c>
      <c r="N41" s="4">
        <v>22</v>
      </c>
      <c r="O41" s="4">
        <v>19</v>
      </c>
      <c r="P41" s="4">
        <v>23</v>
      </c>
      <c r="Q41" s="4">
        <v>35</v>
      </c>
      <c r="R41" s="4">
        <v>1</v>
      </c>
    </row>
    <row r="42" spans="1:18" x14ac:dyDescent="0.3">
      <c r="A42" t="s">
        <v>40</v>
      </c>
      <c r="C42" t="s">
        <v>69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2</v>
      </c>
      <c r="M42" s="4">
        <v>3</v>
      </c>
      <c r="N42" s="4">
        <v>4</v>
      </c>
      <c r="O42" s="4">
        <v>5</v>
      </c>
      <c r="P42" s="4">
        <v>3</v>
      </c>
      <c r="Q42" s="4">
        <v>5</v>
      </c>
      <c r="R42" s="4">
        <v>1</v>
      </c>
    </row>
    <row r="43" spans="1:18" x14ac:dyDescent="0.3">
      <c r="A43" t="s">
        <v>40</v>
      </c>
      <c r="C43" t="s">
        <v>70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6</v>
      </c>
      <c r="M43" s="4">
        <v>4</v>
      </c>
      <c r="N43" s="4">
        <v>6</v>
      </c>
      <c r="O43" s="4">
        <v>5</v>
      </c>
      <c r="P43" s="4">
        <v>6</v>
      </c>
      <c r="Q43" s="4">
        <v>5</v>
      </c>
      <c r="R43" s="4">
        <v>0</v>
      </c>
    </row>
    <row r="44" spans="1:18" x14ac:dyDescent="0.3">
      <c r="A44" t="s">
        <v>40</v>
      </c>
      <c r="C44" t="s">
        <v>71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43</v>
      </c>
      <c r="M44" s="4">
        <v>42</v>
      </c>
      <c r="N44" s="4">
        <v>38</v>
      </c>
      <c r="O44" s="4">
        <v>31</v>
      </c>
      <c r="P44" s="4">
        <v>39</v>
      </c>
      <c r="Q44" s="4">
        <v>42</v>
      </c>
      <c r="R44" s="4">
        <v>0</v>
      </c>
    </row>
    <row r="45" spans="1:18" x14ac:dyDescent="0.3">
      <c r="A45" t="s">
        <v>40</v>
      </c>
      <c r="C45" t="s">
        <v>72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1</v>
      </c>
      <c r="N45" s="4">
        <v>2</v>
      </c>
      <c r="O45" s="4">
        <v>2</v>
      </c>
      <c r="P45" s="4">
        <v>2</v>
      </c>
      <c r="Q45" s="4">
        <v>1</v>
      </c>
      <c r="R45" s="4">
        <v>44</v>
      </c>
    </row>
    <row r="46" spans="1:18" x14ac:dyDescent="0.3">
      <c r="A46" t="s">
        <v>40</v>
      </c>
      <c r="C46" t="s">
        <v>73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2</v>
      </c>
      <c r="M46" s="4">
        <v>2</v>
      </c>
      <c r="N46" s="4">
        <v>2</v>
      </c>
      <c r="O46" s="4">
        <v>4</v>
      </c>
      <c r="P46" s="4">
        <v>2</v>
      </c>
      <c r="Q46" s="4">
        <v>3</v>
      </c>
      <c r="R46" s="4">
        <v>6</v>
      </c>
    </row>
    <row r="47" spans="1:18" x14ac:dyDescent="0.3">
      <c r="A47" t="s">
        <v>40</v>
      </c>
      <c r="C47" t="s">
        <v>20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10</v>
      </c>
    </row>
    <row r="48" spans="1:18" x14ac:dyDescent="0.3">
      <c r="A48" t="s">
        <v>40</v>
      </c>
      <c r="C48" t="s">
        <v>74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1</v>
      </c>
      <c r="M48" s="4">
        <v>0</v>
      </c>
      <c r="N48" s="4">
        <v>0</v>
      </c>
      <c r="O48" s="4">
        <v>0</v>
      </c>
      <c r="P48" s="4">
        <v>0</v>
      </c>
      <c r="Q48" s="4">
        <v>1</v>
      </c>
      <c r="R48" s="4">
        <v>59</v>
      </c>
    </row>
    <row r="49" spans="1:18" x14ac:dyDescent="0.3">
      <c r="A49" t="s">
        <v>40</v>
      </c>
      <c r="C49" t="s">
        <v>75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1</v>
      </c>
      <c r="Q49" s="4">
        <v>4</v>
      </c>
      <c r="R49" s="4">
        <v>1</v>
      </c>
    </row>
    <row r="50" spans="1:18" x14ac:dyDescent="0.3">
      <c r="A50" t="s">
        <v>40</v>
      </c>
      <c r="C50" t="s">
        <v>76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3</v>
      </c>
      <c r="M50" s="4">
        <v>1</v>
      </c>
      <c r="N50" s="4">
        <v>1</v>
      </c>
      <c r="O50" s="4">
        <v>4</v>
      </c>
      <c r="P50" s="4">
        <v>5</v>
      </c>
      <c r="Q50" s="4">
        <v>9</v>
      </c>
      <c r="R50" s="4">
        <v>5</v>
      </c>
    </row>
    <row r="51" spans="1:18" x14ac:dyDescent="0.3">
      <c r="A51" t="s">
        <v>40</v>
      </c>
      <c r="C51" t="s">
        <v>77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1</v>
      </c>
      <c r="M51" s="4">
        <v>0</v>
      </c>
      <c r="N51" s="4">
        <v>0</v>
      </c>
      <c r="O51" s="4">
        <v>1</v>
      </c>
      <c r="P51" s="4">
        <v>1</v>
      </c>
      <c r="Q51" s="4">
        <v>3</v>
      </c>
      <c r="R51" s="4">
        <v>0</v>
      </c>
    </row>
    <row r="52" spans="1:18" x14ac:dyDescent="0.3">
      <c r="A52" t="s">
        <v>40</v>
      </c>
      <c r="C52" t="s">
        <v>78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3</v>
      </c>
    </row>
    <row r="53" spans="1:18" x14ac:dyDescent="0.3">
      <c r="A53" t="s">
        <v>40</v>
      </c>
      <c r="C53" t="s">
        <v>79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5</v>
      </c>
    </row>
    <row r="54" spans="1:18" x14ac:dyDescent="0.3">
      <c r="A54" t="s">
        <v>40</v>
      </c>
      <c r="C54" t="s">
        <v>80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1</v>
      </c>
      <c r="N54" s="4">
        <v>0</v>
      </c>
      <c r="O54" s="4">
        <v>0</v>
      </c>
      <c r="P54" s="4">
        <v>0</v>
      </c>
      <c r="Q54" s="4">
        <v>0</v>
      </c>
      <c r="R54" s="4">
        <v>6</v>
      </c>
    </row>
    <row r="55" spans="1:18" x14ac:dyDescent="0.3">
      <c r="A55" t="s">
        <v>40</v>
      </c>
      <c r="C55" t="s">
        <v>81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1</v>
      </c>
      <c r="N55" s="4">
        <v>0</v>
      </c>
      <c r="O55" s="4">
        <v>0</v>
      </c>
      <c r="P55" s="4">
        <v>0</v>
      </c>
      <c r="Q55" s="4">
        <v>0</v>
      </c>
      <c r="R55" s="4">
        <v>4</v>
      </c>
    </row>
    <row r="56" spans="1:18" x14ac:dyDescent="0.3">
      <c r="A56" t="s">
        <v>40</v>
      </c>
      <c r="C56" t="s">
        <v>82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</row>
    <row r="57" spans="1:18" x14ac:dyDescent="0.3">
      <c r="A57" t="s">
        <v>40</v>
      </c>
      <c r="C57" t="s">
        <v>12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</row>
    <row r="58" spans="1:18" x14ac:dyDescent="0.3">
      <c r="A58" t="s">
        <v>40</v>
      </c>
      <c r="C58" t="s">
        <v>24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1</v>
      </c>
      <c r="R58" s="4">
        <v>0</v>
      </c>
    </row>
    <row r="59" spans="1:18" x14ac:dyDescent="0.3">
      <c r="A59" t="s">
        <v>40</v>
      </c>
      <c r="C59" t="s">
        <v>25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1</v>
      </c>
      <c r="M59" s="4">
        <v>1</v>
      </c>
      <c r="N59" s="4">
        <v>1</v>
      </c>
      <c r="O59" s="4">
        <v>1</v>
      </c>
      <c r="P59" s="4">
        <v>2</v>
      </c>
      <c r="Q59" s="4">
        <v>5</v>
      </c>
      <c r="R59" s="4">
        <v>0</v>
      </c>
    </row>
    <row r="60" spans="1:18" x14ac:dyDescent="0.3">
      <c r="A60" t="s">
        <v>40</v>
      </c>
      <c r="C60" t="s">
        <v>26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2</v>
      </c>
      <c r="R60" s="4">
        <v>0</v>
      </c>
    </row>
    <row r="61" spans="1:18" x14ac:dyDescent="0.3">
      <c r="A61" t="s">
        <v>40</v>
      </c>
      <c r="C61" t="s">
        <v>27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1</v>
      </c>
      <c r="R61" s="4">
        <v>0</v>
      </c>
    </row>
    <row r="62" spans="1:18" x14ac:dyDescent="0.3">
      <c r="A62" t="s">
        <v>40</v>
      </c>
      <c r="C62" t="s">
        <v>83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1</v>
      </c>
      <c r="Q62" s="4">
        <v>1</v>
      </c>
      <c r="R62" s="4">
        <v>1</v>
      </c>
    </row>
    <row r="63" spans="1:18" x14ac:dyDescent="0.3">
      <c r="A63" t="s">
        <v>40</v>
      </c>
      <c r="C63" t="s">
        <v>21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2</v>
      </c>
      <c r="M63" s="4">
        <v>2</v>
      </c>
      <c r="N63" s="4">
        <v>2</v>
      </c>
      <c r="O63" s="4">
        <v>2</v>
      </c>
      <c r="P63" s="4">
        <v>2</v>
      </c>
      <c r="Q63" s="4">
        <v>2</v>
      </c>
      <c r="R63" s="4">
        <v>4</v>
      </c>
    </row>
    <row r="64" spans="1:18" x14ac:dyDescent="0.3">
      <c r="A64" t="s">
        <v>40</v>
      </c>
      <c r="C64" t="s">
        <v>22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2</v>
      </c>
      <c r="M64" s="4">
        <v>2</v>
      </c>
      <c r="N64" s="4">
        <v>2</v>
      </c>
      <c r="O64" s="4">
        <v>2</v>
      </c>
      <c r="P64" s="4">
        <v>2</v>
      </c>
      <c r="Q64" s="4">
        <v>2</v>
      </c>
      <c r="R64" s="4">
        <v>0</v>
      </c>
    </row>
    <row r="65" spans="1:18" x14ac:dyDescent="0.3">
      <c r="A65" t="s">
        <v>40</v>
      </c>
      <c r="C65" t="s">
        <v>84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2</v>
      </c>
      <c r="M65" s="4">
        <v>2</v>
      </c>
      <c r="N65" s="4">
        <v>2</v>
      </c>
      <c r="O65" s="4">
        <v>2</v>
      </c>
      <c r="P65" s="4">
        <v>2</v>
      </c>
      <c r="Q65" s="4">
        <v>2</v>
      </c>
      <c r="R65" s="4">
        <v>2</v>
      </c>
    </row>
    <row r="66" spans="1:18" x14ac:dyDescent="0.3">
      <c r="A66" t="s">
        <v>40</v>
      </c>
      <c r="C66" t="s">
        <v>85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12</v>
      </c>
      <c r="M66" s="4">
        <v>15</v>
      </c>
      <c r="N66" s="4">
        <v>16</v>
      </c>
      <c r="O66" s="4">
        <v>17</v>
      </c>
      <c r="P66" s="4">
        <v>15</v>
      </c>
      <c r="Q66" s="4">
        <v>16</v>
      </c>
      <c r="R66" s="4">
        <v>1</v>
      </c>
    </row>
    <row r="67" spans="1:18" x14ac:dyDescent="0.3">
      <c r="A67" t="s">
        <v>40</v>
      </c>
      <c r="C67" t="s">
        <v>86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1</v>
      </c>
      <c r="M67" s="4">
        <v>0</v>
      </c>
      <c r="N67" s="4">
        <v>2</v>
      </c>
      <c r="O67" s="4">
        <v>2</v>
      </c>
      <c r="P67" s="4">
        <v>1</v>
      </c>
      <c r="Q67" s="4">
        <v>1</v>
      </c>
      <c r="R67" s="4">
        <v>2</v>
      </c>
    </row>
    <row r="68" spans="1:18" x14ac:dyDescent="0.3">
      <c r="A68" t="s">
        <v>40</v>
      </c>
      <c r="C68" t="s">
        <v>87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17</v>
      </c>
      <c r="M68" s="4">
        <v>17</v>
      </c>
      <c r="N68" s="4">
        <v>15</v>
      </c>
      <c r="O68" s="4">
        <v>12</v>
      </c>
      <c r="P68" s="4">
        <v>14</v>
      </c>
      <c r="Q68" s="4">
        <v>16</v>
      </c>
      <c r="R68" s="4">
        <v>1</v>
      </c>
    </row>
    <row r="69" spans="1:18" x14ac:dyDescent="0.3">
      <c r="A69" t="s">
        <v>40</v>
      </c>
      <c r="C69" t="s">
        <v>88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2</v>
      </c>
    </row>
    <row r="70" spans="1:18" x14ac:dyDescent="0.3">
      <c r="A70" t="s">
        <v>40</v>
      </c>
      <c r="C70" t="s">
        <v>89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6</v>
      </c>
      <c r="M70" s="4">
        <v>6</v>
      </c>
      <c r="N70" s="4">
        <v>5</v>
      </c>
      <c r="O70" s="4">
        <v>5</v>
      </c>
      <c r="P70" s="4">
        <v>9</v>
      </c>
      <c r="Q70" s="4">
        <v>7</v>
      </c>
      <c r="R70" s="4">
        <v>22</v>
      </c>
    </row>
    <row r="71" spans="1:18" x14ac:dyDescent="0.3">
      <c r="A71" t="s">
        <v>40</v>
      </c>
      <c r="C71" t="s">
        <v>90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4</v>
      </c>
    </row>
    <row r="72" spans="1:18" x14ac:dyDescent="0.3">
      <c r="A72" t="s">
        <v>40</v>
      </c>
      <c r="C72" t="s">
        <v>91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1</v>
      </c>
      <c r="M72" s="4">
        <v>0</v>
      </c>
      <c r="N72" s="4">
        <v>1</v>
      </c>
      <c r="O72" s="4">
        <v>1</v>
      </c>
      <c r="P72" s="4">
        <v>1</v>
      </c>
      <c r="Q72" s="4">
        <v>1</v>
      </c>
      <c r="R72" s="4">
        <v>0</v>
      </c>
    </row>
    <row r="73" spans="1:18" x14ac:dyDescent="0.3">
      <c r="A73" t="s">
        <v>40</v>
      </c>
      <c r="C73" t="s">
        <v>92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21</v>
      </c>
    </row>
    <row r="74" spans="1:18" x14ac:dyDescent="0.3"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R74">
        <v>0</v>
      </c>
    </row>
    <row r="75" spans="1:18" x14ac:dyDescent="0.3"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R75">
        <v>6</v>
      </c>
    </row>
    <row r="76" spans="1:18" x14ac:dyDescent="0.3"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R76">
        <v>0</v>
      </c>
    </row>
    <row r="77" spans="1:18" x14ac:dyDescent="0.3"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R77">
        <v>1</v>
      </c>
    </row>
    <row r="78" spans="1:18" x14ac:dyDescent="0.3"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R78">
        <v>0</v>
      </c>
    </row>
    <row r="79" spans="1:18" x14ac:dyDescent="0.3"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</row>
    <row r="80" spans="1:18" x14ac:dyDescent="0.3"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</row>
    <row r="81" spans="4:15" x14ac:dyDescent="0.3"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</row>
    <row r="82" spans="4:15" x14ac:dyDescent="0.3"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</row>
    <row r="83" spans="4:15" x14ac:dyDescent="0.3"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</row>
    <row r="84" spans="4:15" x14ac:dyDescent="0.3"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</row>
    <row r="85" spans="4:15" x14ac:dyDescent="0.3"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</row>
    <row r="86" spans="4:15" x14ac:dyDescent="0.3"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</row>
    <row r="87" spans="4:15" x14ac:dyDescent="0.3"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</row>
    <row r="88" spans="4:15" x14ac:dyDescent="0.3"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</row>
    <row r="89" spans="4:15" x14ac:dyDescent="0.3"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</row>
    <row r="90" spans="4:15" x14ac:dyDescent="0.3"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</row>
    <row r="91" spans="4:15" x14ac:dyDescent="0.3"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</row>
    <row r="92" spans="4:15" x14ac:dyDescent="0.3"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</row>
    <row r="93" spans="4:15" x14ac:dyDescent="0.3"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</row>
    <row r="94" spans="4:15" x14ac:dyDescent="0.3"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</row>
    <row r="95" spans="4:15" x14ac:dyDescent="0.3"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</row>
    <row r="96" spans="4:15" x14ac:dyDescent="0.3"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</row>
    <row r="97" spans="4:15" x14ac:dyDescent="0.3"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</row>
    <row r="98" spans="4:15" x14ac:dyDescent="0.3"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</row>
    <row r="99" spans="4:15" x14ac:dyDescent="0.3"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</row>
    <row r="100" spans="4:15" x14ac:dyDescent="0.3"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</row>
    <row r="101" spans="4:15" x14ac:dyDescent="0.3"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</row>
    <row r="102" spans="4:15" x14ac:dyDescent="0.3"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</row>
    <row r="103" spans="4:15" x14ac:dyDescent="0.3"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</row>
    <row r="104" spans="4:15" x14ac:dyDescent="0.3"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</row>
    <row r="105" spans="4:15" x14ac:dyDescent="0.3"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</row>
    <row r="106" spans="4:15" x14ac:dyDescent="0.3"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</row>
    <row r="107" spans="4:15" x14ac:dyDescent="0.3"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</row>
    <row r="108" spans="4:15" x14ac:dyDescent="0.3"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</row>
    <row r="109" spans="4:15" x14ac:dyDescent="0.3"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</row>
    <row r="110" spans="4:15" x14ac:dyDescent="0.3"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</row>
    <row r="111" spans="4:15" x14ac:dyDescent="0.3"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</row>
    <row r="112" spans="4:15" x14ac:dyDescent="0.3"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</row>
    <row r="113" spans="4:15" x14ac:dyDescent="0.3"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</row>
    <row r="114" spans="4:15" x14ac:dyDescent="0.3"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</row>
    <row r="115" spans="4:15" x14ac:dyDescent="0.3"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</row>
    <row r="116" spans="4:15" x14ac:dyDescent="0.3"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</row>
    <row r="117" spans="4:15" x14ac:dyDescent="0.3"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</row>
    <row r="118" spans="4:15" x14ac:dyDescent="0.3"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</row>
    <row r="119" spans="4:15" x14ac:dyDescent="0.3"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</row>
    <row r="120" spans="4:15" x14ac:dyDescent="0.3"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</row>
    <row r="121" spans="4:15" x14ac:dyDescent="0.3"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</row>
    <row r="122" spans="4:15" x14ac:dyDescent="0.3"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</row>
    <row r="123" spans="4:15" x14ac:dyDescent="0.3"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</row>
    <row r="124" spans="4:15" x14ac:dyDescent="0.3"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</row>
    <row r="125" spans="4:15" x14ac:dyDescent="0.3"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</row>
    <row r="126" spans="4:15" x14ac:dyDescent="0.3"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</row>
    <row r="127" spans="4:15" x14ac:dyDescent="0.3"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</row>
  </sheetData>
  <autoFilter ref="A4:O127" xr:uid="{00000000-0009-0000-0000-000003000000}"/>
  <mergeCells count="3">
    <mergeCell ref="A1:A2"/>
    <mergeCell ref="B1:B2"/>
    <mergeCell ref="C1:C2"/>
  </mergeCells>
  <conditionalFormatting sqref="D5:O127">
    <cfRule type="dataBar" priority="7">
      <dataBar>
        <cfvo type="num" val="0"/>
        <cfvo type="max"/>
        <color rgb="FF4F81BD"/>
      </dataBar>
    </cfRule>
  </conditionalFormatting>
  <conditionalFormatting sqref="P5:Q73">
    <cfRule type="dataBar" priority="11">
      <dataBar>
        <cfvo type="num" val="0"/>
        <cfvo type="max"/>
        <color rgb="FF4F81BD"/>
      </dataBar>
    </cfRule>
  </conditionalFormatting>
  <conditionalFormatting sqref="R5:R73">
    <cfRule type="dataBar" priority="14">
      <dataBar>
        <cfvo type="num" val="0"/>
        <cfvo type="max"/>
        <color rgb="FF4F81BD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93163-D014-4CBA-A3D0-D38ACF957BD2}">
  <dimension ref="A1:AJ87"/>
  <sheetViews>
    <sheetView tabSelected="1" workbookViewId="0">
      <pane xSplit="3" ySplit="4" topLeftCell="D5" activePane="bottomRight" state="frozen"/>
      <selection activeCell="D3" sqref="D3:AB3"/>
      <selection pane="topRight" activeCell="D3" sqref="D3:AB3"/>
      <selection pane="bottomLeft" activeCell="D3" sqref="D3:AB3"/>
      <selection pane="bottomRight" activeCell="D3" sqref="D3:R3"/>
    </sheetView>
  </sheetViews>
  <sheetFormatPr defaultRowHeight="14.4" x14ac:dyDescent="0.3"/>
  <cols>
    <col min="1" max="1" width="18.5546875" bestFit="1" customWidth="1"/>
    <col min="2" max="2" width="12.33203125" bestFit="1" customWidth="1"/>
    <col min="3" max="3" width="30.77734375" bestFit="1" customWidth="1"/>
    <col min="4" max="14" width="10.33203125" bestFit="1" customWidth="1"/>
    <col min="15" max="17" width="5.88671875" bestFit="1" customWidth="1"/>
    <col min="18" max="18" width="5.88671875" customWidth="1"/>
  </cols>
  <sheetData>
    <row r="1" spans="1:36" ht="18" customHeight="1" x14ac:dyDescent="0.3">
      <c r="A1" s="5" t="s">
        <v>0</v>
      </c>
      <c r="B1" s="5" t="s">
        <v>1</v>
      </c>
      <c r="C1" s="5" t="s">
        <v>2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3</v>
      </c>
      <c r="P1" s="1" t="s">
        <v>4</v>
      </c>
      <c r="Q1" s="1" t="s">
        <v>5</v>
      </c>
      <c r="R1" s="1" t="s">
        <v>6</v>
      </c>
    </row>
    <row r="2" spans="1:36" ht="18" customHeight="1" x14ac:dyDescent="0.3">
      <c r="A2" s="5"/>
      <c r="B2" s="5"/>
      <c r="C2" s="5"/>
      <c r="D2" s="1">
        <v>1</v>
      </c>
      <c r="E2" s="1">
        <v>2</v>
      </c>
      <c r="F2" s="1">
        <v>3</v>
      </c>
      <c r="G2" s="1">
        <v>4</v>
      </c>
      <c r="H2" s="1">
        <v>5</v>
      </c>
      <c r="I2" s="1">
        <v>6</v>
      </c>
      <c r="J2" s="1">
        <v>7</v>
      </c>
      <c r="K2" s="1">
        <v>8</v>
      </c>
      <c r="L2" s="1">
        <v>9</v>
      </c>
      <c r="M2" s="1">
        <v>10</v>
      </c>
      <c r="N2" s="1">
        <v>11</v>
      </c>
      <c r="O2" s="1">
        <v>12</v>
      </c>
      <c r="P2" s="1">
        <v>13</v>
      </c>
      <c r="Q2" s="1">
        <v>14</v>
      </c>
      <c r="R2" s="1">
        <v>15</v>
      </c>
      <c r="U2">
        <v>561</v>
      </c>
      <c r="V2">
        <v>379</v>
      </c>
      <c r="W2">
        <v>359</v>
      </c>
      <c r="X2">
        <v>409</v>
      </c>
      <c r="Y2">
        <v>366</v>
      </c>
      <c r="Z2">
        <v>355</v>
      </c>
      <c r="AA2">
        <v>309</v>
      </c>
      <c r="AB2">
        <v>462</v>
      </c>
      <c r="AC2">
        <v>39</v>
      </c>
      <c r="AD2">
        <v>61</v>
      </c>
      <c r="AE2">
        <v>62</v>
      </c>
      <c r="AF2">
        <v>30</v>
      </c>
      <c r="AG2">
        <v>20</v>
      </c>
      <c r="AH2">
        <v>19</v>
      </c>
      <c r="AI2">
        <v>34</v>
      </c>
    </row>
    <row r="3" spans="1:36" ht="18" customHeight="1" x14ac:dyDescent="0.3">
      <c r="A3" s="2" t="s">
        <v>10</v>
      </c>
      <c r="B3" s="2"/>
      <c r="C3" s="2"/>
      <c r="D3" s="3">
        <f t="shared" ref="D3:N3" si="0">SUBTOTAL(109,D5:D1048576)</f>
        <v>561</v>
      </c>
      <c r="E3" s="3">
        <f t="shared" si="0"/>
        <v>379</v>
      </c>
      <c r="F3" s="3">
        <f t="shared" si="0"/>
        <v>359</v>
      </c>
      <c r="G3" s="3">
        <f t="shared" si="0"/>
        <v>409</v>
      </c>
      <c r="H3" s="3">
        <f t="shared" si="0"/>
        <v>366</v>
      </c>
      <c r="I3" s="3">
        <f t="shared" si="0"/>
        <v>355</v>
      </c>
      <c r="J3" s="3">
        <f t="shared" si="0"/>
        <v>309</v>
      </c>
      <c r="K3" s="3">
        <f t="shared" si="0"/>
        <v>462</v>
      </c>
      <c r="L3" s="3">
        <f t="shared" si="0"/>
        <v>39</v>
      </c>
      <c r="M3" s="3">
        <f t="shared" si="0"/>
        <v>61</v>
      </c>
      <c r="N3" s="3">
        <f t="shared" si="0"/>
        <v>62</v>
      </c>
      <c r="O3" s="3">
        <f>SUBTOTAL(109,O5:O1048576)</f>
        <v>30</v>
      </c>
      <c r="P3" s="3">
        <f>SUBTOTAL(109,P5:P1048576)</f>
        <v>20</v>
      </c>
      <c r="Q3" s="3">
        <f>SUBTOTAL(109,Q5:Q1048576)</f>
        <v>19</v>
      </c>
      <c r="R3" s="3">
        <f t="shared" ref="R3" si="1">SUBTOTAL(109,R5:R1048576)</f>
        <v>58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296</v>
      </c>
      <c r="AD3">
        <v>303</v>
      </c>
      <c r="AE3">
        <v>284</v>
      </c>
      <c r="AF3">
        <v>265</v>
      </c>
      <c r="AG3">
        <v>273</v>
      </c>
      <c r="AH3">
        <v>322</v>
      </c>
      <c r="AI3">
        <v>474</v>
      </c>
    </row>
    <row r="4" spans="1:36" ht="18" customHeight="1" x14ac:dyDescent="0.3">
      <c r="A4" s="1" t="s">
        <v>0</v>
      </c>
      <c r="B4" s="1" t="s">
        <v>1</v>
      </c>
      <c r="C4" s="1" t="s">
        <v>2</v>
      </c>
      <c r="D4" s="1" t="s">
        <v>28</v>
      </c>
      <c r="E4" s="1" t="s">
        <v>29</v>
      </c>
      <c r="F4" s="1" t="s">
        <v>30</v>
      </c>
      <c r="G4" s="1" t="s">
        <v>31</v>
      </c>
      <c r="H4" s="1" t="s">
        <v>32</v>
      </c>
      <c r="I4" s="1" t="s">
        <v>33</v>
      </c>
      <c r="J4" s="1" t="s">
        <v>34</v>
      </c>
      <c r="K4" s="1" t="s">
        <v>35</v>
      </c>
      <c r="L4" s="1" t="s">
        <v>36</v>
      </c>
      <c r="M4" s="1" t="s">
        <v>37</v>
      </c>
      <c r="N4" s="1" t="s">
        <v>38</v>
      </c>
      <c r="O4" s="1" t="s">
        <v>39</v>
      </c>
      <c r="P4" s="1" t="s">
        <v>93</v>
      </c>
      <c r="Q4" s="1" t="s">
        <v>94</v>
      </c>
      <c r="R4" s="1" t="s">
        <v>95</v>
      </c>
      <c r="U4">
        <v>561</v>
      </c>
      <c r="V4">
        <v>379</v>
      </c>
      <c r="W4">
        <v>359</v>
      </c>
      <c r="X4">
        <v>409</v>
      </c>
      <c r="Y4">
        <v>366</v>
      </c>
      <c r="Z4">
        <v>355</v>
      </c>
      <c r="AA4">
        <v>309</v>
      </c>
      <c r="AB4">
        <v>462</v>
      </c>
      <c r="AC4">
        <v>335</v>
      </c>
      <c r="AD4">
        <v>364</v>
      </c>
      <c r="AE4">
        <v>346</v>
      </c>
      <c r="AF4">
        <v>295</v>
      </c>
      <c r="AG4">
        <v>293</v>
      </c>
      <c r="AH4">
        <v>341</v>
      </c>
      <c r="AI4">
        <v>508</v>
      </c>
      <c r="AJ4">
        <f>SUM(U4:AI4)</f>
        <v>5682</v>
      </c>
    </row>
    <row r="5" spans="1:36" x14ac:dyDescent="0.3">
      <c r="A5" t="s">
        <v>40</v>
      </c>
      <c r="C5" t="s">
        <v>41</v>
      </c>
      <c r="D5" s="4"/>
      <c r="E5" s="4"/>
      <c r="F5" s="4"/>
      <c r="G5" s="4">
        <v>1</v>
      </c>
      <c r="H5" s="4">
        <v>1</v>
      </c>
      <c r="I5" s="4">
        <v>1</v>
      </c>
      <c r="J5" s="4">
        <v>2</v>
      </c>
      <c r="K5" s="4">
        <v>2</v>
      </c>
      <c r="L5" s="4">
        <v>2</v>
      </c>
      <c r="M5" s="4">
        <v>2</v>
      </c>
      <c r="N5" s="4">
        <v>2</v>
      </c>
      <c r="O5" s="4">
        <v>2</v>
      </c>
      <c r="P5" s="4">
        <v>2</v>
      </c>
      <c r="Q5" s="4">
        <v>1</v>
      </c>
      <c r="R5" s="4"/>
    </row>
    <row r="6" spans="1:36" x14ac:dyDescent="0.3">
      <c r="A6" t="s">
        <v>40</v>
      </c>
      <c r="C6" t="s">
        <v>42</v>
      </c>
      <c r="D6" s="4"/>
      <c r="E6" s="4"/>
      <c r="F6" s="4"/>
      <c r="G6" s="4"/>
      <c r="H6" s="4">
        <v>1</v>
      </c>
      <c r="I6" s="4"/>
      <c r="J6" s="4"/>
      <c r="K6" s="4"/>
      <c r="L6" s="4"/>
      <c r="M6" s="4">
        <v>2</v>
      </c>
      <c r="N6" s="4"/>
      <c r="O6" s="4"/>
      <c r="P6" s="4"/>
      <c r="Q6" s="4"/>
      <c r="R6" s="4">
        <v>1</v>
      </c>
    </row>
    <row r="7" spans="1:36" x14ac:dyDescent="0.3">
      <c r="A7" t="s">
        <v>40</v>
      </c>
      <c r="C7" t="s">
        <v>43</v>
      </c>
      <c r="D7" s="4"/>
      <c r="E7" s="4"/>
      <c r="F7" s="4"/>
      <c r="G7" s="4">
        <v>1</v>
      </c>
      <c r="H7" s="4">
        <v>3</v>
      </c>
      <c r="I7" s="4">
        <v>4</v>
      </c>
      <c r="J7" s="4">
        <v>2</v>
      </c>
      <c r="K7" s="4">
        <v>2</v>
      </c>
      <c r="L7" s="4">
        <v>2</v>
      </c>
      <c r="M7" s="4">
        <v>2</v>
      </c>
      <c r="N7" s="4">
        <v>2</v>
      </c>
      <c r="O7" s="4">
        <v>2</v>
      </c>
      <c r="P7" s="4">
        <v>2</v>
      </c>
      <c r="Q7" s="4">
        <v>1</v>
      </c>
      <c r="R7" s="4"/>
    </row>
    <row r="8" spans="1:36" x14ac:dyDescent="0.3">
      <c r="A8" t="s">
        <v>40</v>
      </c>
      <c r="C8" t="s">
        <v>44</v>
      </c>
      <c r="D8" s="4"/>
      <c r="E8" s="4">
        <v>2</v>
      </c>
      <c r="F8" s="4"/>
      <c r="G8" s="4">
        <v>1</v>
      </c>
      <c r="H8" s="4"/>
      <c r="I8" s="4"/>
      <c r="J8" s="4"/>
      <c r="K8" s="4">
        <v>3</v>
      </c>
      <c r="L8" s="4"/>
      <c r="M8" s="4"/>
      <c r="N8" s="4"/>
      <c r="O8" s="4"/>
      <c r="P8" s="4"/>
      <c r="Q8" s="4"/>
      <c r="R8" s="4">
        <v>1</v>
      </c>
    </row>
    <row r="9" spans="1:36" x14ac:dyDescent="0.3">
      <c r="A9" t="s">
        <v>40</v>
      </c>
      <c r="C9" t="s">
        <v>45</v>
      </c>
      <c r="D9" s="4">
        <v>1</v>
      </c>
      <c r="E9" s="4"/>
      <c r="F9" s="4"/>
      <c r="G9" s="4"/>
      <c r="H9" s="4">
        <v>2</v>
      </c>
      <c r="I9" s="4">
        <v>3</v>
      </c>
      <c r="J9" s="4"/>
      <c r="K9" s="4">
        <v>2</v>
      </c>
      <c r="L9" s="4"/>
      <c r="M9" s="4"/>
      <c r="N9" s="4"/>
      <c r="O9" s="4"/>
      <c r="P9" s="4"/>
      <c r="Q9" s="4"/>
      <c r="R9" s="4">
        <v>1</v>
      </c>
    </row>
    <row r="10" spans="1:36" x14ac:dyDescent="0.3">
      <c r="A10" t="s">
        <v>40</v>
      </c>
      <c r="C10" t="s">
        <v>46</v>
      </c>
      <c r="D10" s="4">
        <v>40</v>
      </c>
      <c r="E10" s="4">
        <v>20</v>
      </c>
      <c r="F10" s="4">
        <v>27</v>
      </c>
      <c r="G10" s="4">
        <v>23</v>
      </c>
      <c r="H10" s="4">
        <v>20</v>
      </c>
      <c r="I10" s="4">
        <v>21</v>
      </c>
      <c r="J10" s="4">
        <v>18</v>
      </c>
      <c r="K10" s="4">
        <v>39</v>
      </c>
      <c r="L10" s="4"/>
      <c r="M10" s="4"/>
      <c r="N10" s="4"/>
      <c r="O10" s="4"/>
      <c r="P10" s="4"/>
      <c r="Q10" s="4"/>
      <c r="R10" s="4"/>
    </row>
    <row r="11" spans="1:36" x14ac:dyDescent="0.3">
      <c r="A11" t="s">
        <v>40</v>
      </c>
      <c r="C11" t="s">
        <v>47</v>
      </c>
      <c r="D11" s="4">
        <v>4</v>
      </c>
      <c r="E11" s="4">
        <v>6</v>
      </c>
      <c r="F11" s="4">
        <v>6</v>
      </c>
      <c r="G11" s="4">
        <v>7</v>
      </c>
      <c r="H11" s="4">
        <v>8</v>
      </c>
      <c r="I11" s="4">
        <v>3</v>
      </c>
      <c r="J11" s="4"/>
      <c r="K11" s="4">
        <v>2</v>
      </c>
      <c r="L11" s="4"/>
      <c r="M11" s="4">
        <v>2</v>
      </c>
      <c r="N11" s="4"/>
      <c r="O11" s="4"/>
      <c r="P11" s="4"/>
      <c r="Q11" s="4"/>
      <c r="R11" s="4"/>
    </row>
    <row r="12" spans="1:36" x14ac:dyDescent="0.3">
      <c r="A12" t="s">
        <v>40</v>
      </c>
      <c r="C12" t="s">
        <v>48</v>
      </c>
      <c r="D12" s="4">
        <v>3</v>
      </c>
      <c r="E12" s="4">
        <v>2</v>
      </c>
      <c r="F12" s="4">
        <v>5</v>
      </c>
      <c r="G12" s="4">
        <v>3</v>
      </c>
      <c r="H12" s="4">
        <v>4</v>
      </c>
      <c r="I12" s="4">
        <v>3</v>
      </c>
      <c r="J12" s="4">
        <v>3</v>
      </c>
      <c r="K12" s="4">
        <v>4</v>
      </c>
      <c r="L12" s="4">
        <v>1</v>
      </c>
      <c r="M12" s="4">
        <v>3</v>
      </c>
      <c r="N12" s="4">
        <v>1</v>
      </c>
      <c r="O12" s="4">
        <v>1</v>
      </c>
      <c r="P12" s="4">
        <v>1</v>
      </c>
      <c r="Q12" s="4">
        <v>1</v>
      </c>
      <c r="R12" s="4"/>
    </row>
    <row r="13" spans="1:36" x14ac:dyDescent="0.3">
      <c r="A13" t="s">
        <v>40</v>
      </c>
      <c r="C13" t="s">
        <v>49</v>
      </c>
      <c r="D13" s="4">
        <v>31</v>
      </c>
      <c r="E13" s="4">
        <v>25</v>
      </c>
      <c r="F13" s="4">
        <v>31</v>
      </c>
      <c r="G13" s="4">
        <v>29</v>
      </c>
      <c r="H13" s="4">
        <v>31</v>
      </c>
      <c r="I13" s="4">
        <v>25</v>
      </c>
      <c r="J13" s="4">
        <v>23</v>
      </c>
      <c r="K13" s="4">
        <v>31</v>
      </c>
      <c r="L13" s="4"/>
      <c r="M13" s="4">
        <v>2</v>
      </c>
      <c r="N13" s="4"/>
      <c r="O13" s="4"/>
      <c r="P13" s="4"/>
      <c r="Q13" s="4"/>
      <c r="R13" s="4">
        <v>2</v>
      </c>
    </row>
    <row r="14" spans="1:36" x14ac:dyDescent="0.3">
      <c r="A14" t="s">
        <v>40</v>
      </c>
      <c r="C14" t="s">
        <v>50</v>
      </c>
      <c r="D14" s="4">
        <v>4</v>
      </c>
      <c r="E14" s="4">
        <v>4</v>
      </c>
      <c r="F14" s="4">
        <v>6</v>
      </c>
      <c r="G14" s="4">
        <v>6</v>
      </c>
      <c r="H14" s="4">
        <v>6</v>
      </c>
      <c r="I14" s="4">
        <v>3</v>
      </c>
      <c r="J14" s="4">
        <v>5</v>
      </c>
      <c r="K14" s="4">
        <v>7</v>
      </c>
      <c r="L14" s="4">
        <v>1</v>
      </c>
      <c r="M14" s="4"/>
      <c r="N14" s="4"/>
      <c r="O14" s="4"/>
      <c r="P14" s="4"/>
      <c r="Q14" s="4"/>
      <c r="R14" s="4"/>
    </row>
    <row r="15" spans="1:36" x14ac:dyDescent="0.3">
      <c r="A15" t="s">
        <v>40</v>
      </c>
      <c r="C15" t="s">
        <v>13</v>
      </c>
      <c r="D15" s="4">
        <v>8</v>
      </c>
      <c r="E15" s="4">
        <v>8</v>
      </c>
      <c r="F15" s="4">
        <v>7</v>
      </c>
      <c r="G15" s="4">
        <v>7</v>
      </c>
      <c r="H15" s="4">
        <v>7</v>
      </c>
      <c r="I15" s="4">
        <v>7</v>
      </c>
      <c r="J15" s="4">
        <v>7</v>
      </c>
      <c r="K15" s="4">
        <v>7</v>
      </c>
      <c r="L15" s="4"/>
      <c r="M15" s="4"/>
      <c r="N15" s="4"/>
      <c r="O15" s="4"/>
      <c r="P15" s="4"/>
      <c r="Q15" s="4"/>
      <c r="R15" s="4">
        <v>1</v>
      </c>
    </row>
    <row r="16" spans="1:36" x14ac:dyDescent="0.3">
      <c r="A16" t="s">
        <v>40</v>
      </c>
      <c r="C16" t="s">
        <v>14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/>
      <c r="M16" s="4"/>
      <c r="N16" s="4"/>
      <c r="O16" s="4"/>
      <c r="P16" s="4"/>
      <c r="Q16" s="4"/>
      <c r="R16" s="4"/>
    </row>
    <row r="17" spans="1:18" x14ac:dyDescent="0.3">
      <c r="A17" t="s">
        <v>40</v>
      </c>
      <c r="C17" t="s">
        <v>15</v>
      </c>
      <c r="D17" s="4"/>
      <c r="E17" s="4">
        <v>2</v>
      </c>
      <c r="F17" s="4">
        <v>1</v>
      </c>
      <c r="G17" s="4">
        <v>1</v>
      </c>
      <c r="H17" s="4"/>
      <c r="I17" s="4">
        <v>2</v>
      </c>
      <c r="J17" s="4">
        <v>1</v>
      </c>
      <c r="K17" s="4">
        <v>3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/>
    </row>
    <row r="18" spans="1:18" x14ac:dyDescent="0.3">
      <c r="A18" t="s">
        <v>40</v>
      </c>
      <c r="C18" t="s">
        <v>51</v>
      </c>
      <c r="D18" s="4">
        <v>2</v>
      </c>
      <c r="E18" s="4">
        <v>2</v>
      </c>
      <c r="F18" s="4">
        <v>2</v>
      </c>
      <c r="G18" s="4">
        <v>2</v>
      </c>
      <c r="H18" s="4">
        <v>2</v>
      </c>
      <c r="I18" s="4">
        <v>2</v>
      </c>
      <c r="J18" s="4">
        <v>2</v>
      </c>
      <c r="K18" s="4">
        <v>2</v>
      </c>
      <c r="L18" s="4"/>
      <c r="M18" s="4"/>
      <c r="N18" s="4"/>
      <c r="O18" s="4"/>
      <c r="P18" s="4"/>
      <c r="Q18" s="4"/>
      <c r="R18" s="4"/>
    </row>
    <row r="19" spans="1:18" x14ac:dyDescent="0.3">
      <c r="A19" t="s">
        <v>40</v>
      </c>
      <c r="C19" t="s">
        <v>52</v>
      </c>
      <c r="D19" s="4">
        <v>1</v>
      </c>
      <c r="E19" s="4"/>
      <c r="F19" s="4"/>
      <c r="G19" s="4">
        <v>1</v>
      </c>
      <c r="H19" s="4"/>
      <c r="I19" s="4"/>
      <c r="J19" s="4"/>
      <c r="K19" s="4">
        <v>1</v>
      </c>
      <c r="L19" s="4"/>
      <c r="M19" s="4"/>
      <c r="N19" s="4"/>
      <c r="O19" s="4"/>
      <c r="P19" s="4"/>
      <c r="Q19" s="4"/>
      <c r="R19" s="4"/>
    </row>
    <row r="20" spans="1:18" x14ac:dyDescent="0.3">
      <c r="A20" t="s">
        <v>40</v>
      </c>
      <c r="C20" t="s">
        <v>53</v>
      </c>
      <c r="D20" s="4"/>
      <c r="E20" s="4"/>
      <c r="F20" s="4">
        <v>1</v>
      </c>
      <c r="G20" s="4"/>
      <c r="H20" s="4"/>
      <c r="I20" s="4"/>
      <c r="J20" s="4">
        <v>1</v>
      </c>
      <c r="K20" s="4"/>
      <c r="L20" s="4">
        <v>1</v>
      </c>
      <c r="M20" s="4"/>
      <c r="N20" s="4"/>
      <c r="O20" s="4"/>
      <c r="P20" s="4"/>
      <c r="Q20" s="4"/>
      <c r="R20" s="4">
        <v>1</v>
      </c>
    </row>
    <row r="21" spans="1:18" x14ac:dyDescent="0.3">
      <c r="A21" t="s">
        <v>40</v>
      </c>
      <c r="C21" t="s">
        <v>54</v>
      </c>
      <c r="D21" s="4">
        <v>21</v>
      </c>
      <c r="E21" s="4">
        <v>23</v>
      </c>
      <c r="F21" s="4">
        <v>20</v>
      </c>
      <c r="G21" s="4">
        <v>22</v>
      </c>
      <c r="H21" s="4">
        <v>21</v>
      </c>
      <c r="I21" s="4">
        <v>20</v>
      </c>
      <c r="J21" s="4">
        <v>18</v>
      </c>
      <c r="K21" s="4">
        <v>26</v>
      </c>
      <c r="L21" s="4">
        <v>6</v>
      </c>
      <c r="M21" s="4">
        <v>5</v>
      </c>
      <c r="N21" s="4">
        <v>1</v>
      </c>
      <c r="O21" s="4">
        <v>1</v>
      </c>
      <c r="P21" s="4">
        <v>2</v>
      </c>
      <c r="Q21" s="4">
        <v>1</v>
      </c>
      <c r="R21" s="4"/>
    </row>
    <row r="22" spans="1:18" x14ac:dyDescent="0.3">
      <c r="A22" t="s">
        <v>40</v>
      </c>
      <c r="C22" t="s">
        <v>55</v>
      </c>
      <c r="D22" s="4"/>
      <c r="E22" s="4">
        <v>1</v>
      </c>
      <c r="F22" s="4">
        <v>1</v>
      </c>
      <c r="G22" s="4">
        <v>1</v>
      </c>
      <c r="H22" s="4">
        <v>2</v>
      </c>
      <c r="I22" s="4"/>
      <c r="J22" s="4"/>
      <c r="K22" s="4"/>
      <c r="L22" s="4"/>
      <c r="M22" s="4"/>
      <c r="N22" s="4"/>
      <c r="O22" s="4"/>
      <c r="P22" s="4"/>
      <c r="Q22" s="4"/>
      <c r="R22" s="4"/>
    </row>
    <row r="23" spans="1:18" x14ac:dyDescent="0.3">
      <c r="A23" t="s">
        <v>40</v>
      </c>
      <c r="C23" t="s">
        <v>56</v>
      </c>
      <c r="D23" s="4">
        <v>37</v>
      </c>
      <c r="E23" s="4">
        <v>17</v>
      </c>
      <c r="F23" s="4">
        <v>18</v>
      </c>
      <c r="G23" s="4">
        <v>20</v>
      </c>
      <c r="H23" s="4">
        <v>18</v>
      </c>
      <c r="I23" s="4">
        <v>19</v>
      </c>
      <c r="J23" s="4">
        <v>17</v>
      </c>
      <c r="K23" s="4">
        <v>21</v>
      </c>
      <c r="L23" s="4">
        <v>1</v>
      </c>
      <c r="M23" s="4">
        <v>1</v>
      </c>
      <c r="N23" s="4">
        <v>1</v>
      </c>
      <c r="O23" s="4">
        <v>1</v>
      </c>
      <c r="P23" s="4">
        <v>1</v>
      </c>
      <c r="Q23" s="4">
        <v>1</v>
      </c>
      <c r="R23" s="4"/>
    </row>
    <row r="24" spans="1:18" x14ac:dyDescent="0.3">
      <c r="A24" t="s">
        <v>40</v>
      </c>
      <c r="C24" t="s">
        <v>57</v>
      </c>
      <c r="D24" s="4">
        <v>17</v>
      </c>
      <c r="E24" s="4">
        <v>7</v>
      </c>
      <c r="F24" s="4">
        <v>7</v>
      </c>
      <c r="G24" s="4">
        <v>7</v>
      </c>
      <c r="H24" s="4">
        <v>7</v>
      </c>
      <c r="I24" s="4">
        <v>7</v>
      </c>
      <c r="J24" s="4">
        <v>7</v>
      </c>
      <c r="K24" s="4">
        <v>7</v>
      </c>
      <c r="L24" s="4"/>
      <c r="M24" s="4"/>
      <c r="N24" s="4"/>
      <c r="O24" s="4"/>
      <c r="P24" s="4"/>
      <c r="Q24" s="4"/>
      <c r="R24" s="4">
        <v>8</v>
      </c>
    </row>
    <row r="25" spans="1:18" x14ac:dyDescent="0.3">
      <c r="A25" t="s">
        <v>40</v>
      </c>
      <c r="C25" t="s">
        <v>58</v>
      </c>
      <c r="D25" s="4">
        <v>4</v>
      </c>
      <c r="E25" s="4">
        <v>4</v>
      </c>
      <c r="F25" s="4">
        <v>4</v>
      </c>
      <c r="G25" s="4">
        <v>4</v>
      </c>
      <c r="H25" s="4">
        <v>4</v>
      </c>
      <c r="I25" s="4">
        <v>4</v>
      </c>
      <c r="J25" s="4">
        <v>4</v>
      </c>
      <c r="K25" s="4">
        <v>4</v>
      </c>
      <c r="L25" s="4"/>
      <c r="M25" s="4"/>
      <c r="N25" s="4"/>
      <c r="O25" s="4"/>
      <c r="P25" s="4"/>
      <c r="Q25" s="4"/>
      <c r="R25" s="4"/>
    </row>
    <row r="26" spans="1:18" x14ac:dyDescent="0.3">
      <c r="A26" t="s">
        <v>40</v>
      </c>
      <c r="C26" t="s">
        <v>59</v>
      </c>
      <c r="D26" s="4">
        <v>4</v>
      </c>
      <c r="E26" s="4">
        <v>4</v>
      </c>
      <c r="F26" s="4">
        <v>4</v>
      </c>
      <c r="G26" s="4">
        <v>4</v>
      </c>
      <c r="H26" s="4">
        <v>4</v>
      </c>
      <c r="I26" s="4">
        <v>4</v>
      </c>
      <c r="J26" s="4">
        <v>4</v>
      </c>
      <c r="K26" s="4">
        <v>4</v>
      </c>
      <c r="L26" s="4"/>
      <c r="M26" s="4"/>
      <c r="N26" s="4"/>
      <c r="O26" s="4"/>
      <c r="P26" s="4"/>
      <c r="Q26" s="4"/>
      <c r="R26" s="4">
        <v>5</v>
      </c>
    </row>
    <row r="27" spans="1:18" x14ac:dyDescent="0.3">
      <c r="A27" t="s">
        <v>40</v>
      </c>
      <c r="C27" t="s">
        <v>60</v>
      </c>
      <c r="D27" s="4">
        <v>3</v>
      </c>
      <c r="E27" s="4"/>
      <c r="F27" s="4"/>
      <c r="G27" s="4">
        <v>1</v>
      </c>
      <c r="H27" s="4"/>
      <c r="I27" s="4"/>
      <c r="J27" s="4"/>
      <c r="K27" s="4">
        <v>1</v>
      </c>
      <c r="L27" s="4"/>
      <c r="M27" s="4"/>
      <c r="N27" s="4"/>
      <c r="O27" s="4"/>
      <c r="P27" s="4"/>
      <c r="Q27" s="4"/>
      <c r="R27" s="4"/>
    </row>
    <row r="28" spans="1:18" x14ac:dyDescent="0.3">
      <c r="A28" t="s">
        <v>40</v>
      </c>
      <c r="C28" t="s">
        <v>61</v>
      </c>
      <c r="D28" s="4">
        <v>5</v>
      </c>
      <c r="E28" s="4">
        <v>5</v>
      </c>
      <c r="F28" s="4">
        <v>6</v>
      </c>
      <c r="G28" s="4">
        <v>7</v>
      </c>
      <c r="H28" s="4">
        <v>3</v>
      </c>
      <c r="I28" s="4">
        <v>3</v>
      </c>
      <c r="J28" s="4">
        <v>4</v>
      </c>
      <c r="K28" s="4">
        <v>11</v>
      </c>
      <c r="L28" s="4"/>
      <c r="M28" s="4"/>
      <c r="N28" s="4"/>
      <c r="O28" s="4"/>
      <c r="P28" s="4"/>
      <c r="Q28" s="4"/>
      <c r="R28" s="4">
        <v>1</v>
      </c>
    </row>
    <row r="29" spans="1:18" x14ac:dyDescent="0.3">
      <c r="A29" t="s">
        <v>40</v>
      </c>
      <c r="C29" t="s">
        <v>62</v>
      </c>
      <c r="D29" s="4">
        <v>9</v>
      </c>
      <c r="E29" s="4">
        <v>11</v>
      </c>
      <c r="F29" s="4">
        <v>12</v>
      </c>
      <c r="G29" s="4">
        <v>11</v>
      </c>
      <c r="H29" s="4">
        <v>11</v>
      </c>
      <c r="I29" s="4">
        <v>10</v>
      </c>
      <c r="J29" s="4">
        <v>9</v>
      </c>
      <c r="K29" s="4">
        <v>12</v>
      </c>
      <c r="L29" s="4"/>
      <c r="M29" s="4"/>
      <c r="N29" s="4"/>
      <c r="O29" s="4"/>
      <c r="P29" s="4"/>
      <c r="Q29" s="4"/>
      <c r="R29" s="4">
        <v>1</v>
      </c>
    </row>
    <row r="30" spans="1:18" x14ac:dyDescent="0.3">
      <c r="A30" t="s">
        <v>40</v>
      </c>
      <c r="C30" t="s">
        <v>63</v>
      </c>
      <c r="D30" s="4">
        <v>7</v>
      </c>
      <c r="E30" s="4">
        <v>8</v>
      </c>
      <c r="F30" s="4">
        <v>5</v>
      </c>
      <c r="G30" s="4">
        <v>5</v>
      </c>
      <c r="H30" s="4">
        <v>5</v>
      </c>
      <c r="I30" s="4">
        <v>5</v>
      </c>
      <c r="J30" s="4">
        <v>6</v>
      </c>
      <c r="K30" s="4">
        <v>7</v>
      </c>
      <c r="L30" s="4"/>
      <c r="M30" s="4">
        <v>2</v>
      </c>
      <c r="N30" s="4"/>
      <c r="O30" s="4"/>
      <c r="P30" s="4">
        <v>1</v>
      </c>
      <c r="Q30" s="4"/>
      <c r="R30" s="4"/>
    </row>
    <row r="31" spans="1:18" x14ac:dyDescent="0.3">
      <c r="A31" t="s">
        <v>40</v>
      </c>
      <c r="C31" t="s">
        <v>64</v>
      </c>
      <c r="D31" s="4">
        <v>1</v>
      </c>
      <c r="E31" s="4">
        <v>1</v>
      </c>
      <c r="F31" s="4">
        <v>1</v>
      </c>
      <c r="G31" s="4">
        <v>5</v>
      </c>
      <c r="H31" s="4">
        <v>1</v>
      </c>
      <c r="I31" s="4">
        <v>1</v>
      </c>
      <c r="J31" s="4"/>
      <c r="K31" s="4">
        <v>1</v>
      </c>
      <c r="L31" s="4"/>
      <c r="M31" s="4"/>
      <c r="N31" s="4"/>
      <c r="O31" s="4"/>
      <c r="P31" s="4"/>
      <c r="Q31" s="4"/>
      <c r="R31" s="4"/>
    </row>
    <row r="32" spans="1:18" x14ac:dyDescent="0.3">
      <c r="A32" t="s">
        <v>40</v>
      </c>
      <c r="C32" t="s">
        <v>65</v>
      </c>
      <c r="D32" s="4">
        <v>1</v>
      </c>
      <c r="E32" s="4">
        <v>1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 spans="1:18" x14ac:dyDescent="0.3">
      <c r="A33" t="s">
        <v>40</v>
      </c>
      <c r="C33" t="s">
        <v>11</v>
      </c>
      <c r="D33" s="4">
        <v>4</v>
      </c>
      <c r="E33" s="4">
        <v>4</v>
      </c>
      <c r="F33" s="4">
        <v>1</v>
      </c>
      <c r="G33" s="4">
        <v>1</v>
      </c>
      <c r="H33" s="4">
        <v>1</v>
      </c>
      <c r="I33" s="4">
        <v>1</v>
      </c>
      <c r="J33" s="4">
        <v>1</v>
      </c>
      <c r="K33" s="4">
        <v>1</v>
      </c>
      <c r="L33" s="4"/>
      <c r="M33" s="4"/>
      <c r="N33" s="4"/>
      <c r="O33" s="4"/>
      <c r="P33" s="4"/>
      <c r="Q33" s="4"/>
      <c r="R33" s="4"/>
    </row>
    <row r="34" spans="1:18" x14ac:dyDescent="0.3">
      <c r="A34" t="s">
        <v>40</v>
      </c>
      <c r="C34" t="s">
        <v>66</v>
      </c>
      <c r="D34" s="4">
        <v>1</v>
      </c>
      <c r="E34" s="4">
        <v>1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 spans="1:18" x14ac:dyDescent="0.3">
      <c r="A35" t="s">
        <v>40</v>
      </c>
      <c r="C35" t="s">
        <v>16</v>
      </c>
      <c r="D35" s="4">
        <v>108</v>
      </c>
      <c r="E35" s="4">
        <v>30</v>
      </c>
      <c r="F35" s="4">
        <v>17</v>
      </c>
      <c r="G35" s="4">
        <v>31</v>
      </c>
      <c r="H35" s="4">
        <v>33</v>
      </c>
      <c r="I35" s="4">
        <v>48</v>
      </c>
      <c r="J35" s="4">
        <v>34</v>
      </c>
      <c r="K35" s="4">
        <v>63</v>
      </c>
      <c r="L35" s="4">
        <v>3</v>
      </c>
      <c r="M35" s="4">
        <v>4</v>
      </c>
      <c r="N35" s="4">
        <v>27</v>
      </c>
      <c r="O35" s="4">
        <v>6</v>
      </c>
      <c r="P35" s="4">
        <v>1</v>
      </c>
      <c r="Q35" s="4"/>
      <c r="R35" s="4"/>
    </row>
    <row r="36" spans="1:18" x14ac:dyDescent="0.3">
      <c r="A36" t="s">
        <v>40</v>
      </c>
      <c r="C36" t="s">
        <v>17</v>
      </c>
      <c r="D36" s="4">
        <v>9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 spans="1:18" x14ac:dyDescent="0.3">
      <c r="A37" t="s">
        <v>40</v>
      </c>
      <c r="C37" t="s">
        <v>18</v>
      </c>
      <c r="D37" s="4">
        <v>5</v>
      </c>
      <c r="E37" s="4">
        <v>2</v>
      </c>
      <c r="F37" s="4">
        <v>2</v>
      </c>
      <c r="G37" s="4">
        <v>2</v>
      </c>
      <c r="H37" s="4">
        <v>2</v>
      </c>
      <c r="I37" s="4">
        <v>2</v>
      </c>
      <c r="J37" s="4">
        <v>2</v>
      </c>
      <c r="K37" s="4">
        <v>2</v>
      </c>
      <c r="L37" s="4">
        <v>2</v>
      </c>
      <c r="M37" s="4">
        <v>2</v>
      </c>
      <c r="N37" s="4">
        <v>2</v>
      </c>
      <c r="O37" s="4">
        <v>2</v>
      </c>
      <c r="P37" s="4">
        <v>2</v>
      </c>
      <c r="Q37" s="4">
        <v>2</v>
      </c>
      <c r="R37" s="4"/>
    </row>
    <row r="38" spans="1:18" x14ac:dyDescent="0.3">
      <c r="A38" t="s">
        <v>40</v>
      </c>
      <c r="C38" t="s">
        <v>67</v>
      </c>
      <c r="D38" s="4">
        <v>1</v>
      </c>
      <c r="E38" s="4">
        <v>1</v>
      </c>
      <c r="F38" s="4">
        <v>1</v>
      </c>
      <c r="G38" s="4">
        <v>1</v>
      </c>
      <c r="H38" s="4">
        <v>1</v>
      </c>
      <c r="I38" s="4">
        <v>1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1</v>
      </c>
      <c r="P38" s="4"/>
      <c r="Q38" s="4"/>
      <c r="R38" s="4">
        <v>7</v>
      </c>
    </row>
    <row r="39" spans="1:18" x14ac:dyDescent="0.3">
      <c r="A39" t="s">
        <v>40</v>
      </c>
      <c r="C39" t="s">
        <v>23</v>
      </c>
      <c r="D39" s="4">
        <v>1</v>
      </c>
      <c r="E39" s="4">
        <v>1</v>
      </c>
      <c r="F39" s="4">
        <v>1</v>
      </c>
      <c r="G39" s="4">
        <v>1</v>
      </c>
      <c r="H39" s="4">
        <v>1</v>
      </c>
      <c r="I39" s="4">
        <v>1</v>
      </c>
      <c r="J39" s="4">
        <v>1</v>
      </c>
      <c r="K39" s="4">
        <v>1</v>
      </c>
      <c r="L39" s="4"/>
      <c r="M39" s="4"/>
      <c r="N39" s="4"/>
      <c r="O39" s="4"/>
      <c r="P39" s="4"/>
      <c r="Q39" s="4"/>
      <c r="R39" s="4"/>
    </row>
    <row r="40" spans="1:18" x14ac:dyDescent="0.3">
      <c r="A40" t="s">
        <v>40</v>
      </c>
      <c r="C40" t="s">
        <v>19</v>
      </c>
      <c r="D40" s="4"/>
      <c r="E40" s="4">
        <v>1</v>
      </c>
      <c r="F40" s="4">
        <v>1</v>
      </c>
      <c r="G40" s="4">
        <v>1</v>
      </c>
      <c r="H40" s="4">
        <v>1</v>
      </c>
      <c r="I40" s="4">
        <v>1</v>
      </c>
      <c r="J40" s="4"/>
      <c r="K40" s="4"/>
      <c r="L40" s="4"/>
      <c r="M40" s="4"/>
      <c r="N40" s="4"/>
      <c r="O40" s="4"/>
      <c r="P40" s="4"/>
      <c r="Q40" s="4"/>
      <c r="R40" s="4">
        <v>2</v>
      </c>
    </row>
    <row r="41" spans="1:18" x14ac:dyDescent="0.3">
      <c r="A41" t="s">
        <v>40</v>
      </c>
      <c r="C41" t="s">
        <v>68</v>
      </c>
      <c r="D41" s="4">
        <v>34</v>
      </c>
      <c r="E41" s="4">
        <v>26</v>
      </c>
      <c r="F41" s="4">
        <v>30</v>
      </c>
      <c r="G41" s="4">
        <v>33</v>
      </c>
      <c r="H41" s="4">
        <v>29</v>
      </c>
      <c r="I41" s="4">
        <v>24</v>
      </c>
      <c r="J41" s="4">
        <v>26</v>
      </c>
      <c r="K41" s="4">
        <v>41</v>
      </c>
      <c r="L41" s="4"/>
      <c r="M41" s="4"/>
      <c r="N41" s="4"/>
      <c r="O41" s="4"/>
      <c r="P41" s="4"/>
      <c r="Q41" s="4"/>
      <c r="R41" s="4"/>
    </row>
    <row r="42" spans="1:18" x14ac:dyDescent="0.3">
      <c r="A42" t="s">
        <v>40</v>
      </c>
      <c r="C42" t="s">
        <v>69</v>
      </c>
      <c r="D42" s="4">
        <v>10</v>
      </c>
      <c r="E42" s="4">
        <v>3</v>
      </c>
      <c r="F42" s="4">
        <v>3</v>
      </c>
      <c r="G42" s="4">
        <v>2</v>
      </c>
      <c r="H42" s="4">
        <v>4</v>
      </c>
      <c r="I42" s="4">
        <v>3</v>
      </c>
      <c r="J42" s="4">
        <v>2</v>
      </c>
      <c r="K42" s="4">
        <v>9</v>
      </c>
      <c r="L42" s="4"/>
      <c r="M42" s="4">
        <v>2</v>
      </c>
      <c r="N42" s="4"/>
      <c r="O42" s="4"/>
      <c r="P42" s="4"/>
      <c r="Q42" s="4"/>
      <c r="R42" s="4"/>
    </row>
    <row r="43" spans="1:18" x14ac:dyDescent="0.3">
      <c r="A43" t="s">
        <v>40</v>
      </c>
      <c r="C43" t="s">
        <v>70</v>
      </c>
      <c r="D43" s="4">
        <v>10</v>
      </c>
      <c r="E43" s="4">
        <v>8</v>
      </c>
      <c r="F43" s="4">
        <v>9</v>
      </c>
      <c r="G43" s="4">
        <v>9</v>
      </c>
      <c r="H43" s="4">
        <v>6</v>
      </c>
      <c r="I43" s="4">
        <v>6</v>
      </c>
      <c r="J43" s="4">
        <v>5</v>
      </c>
      <c r="K43" s="4">
        <v>8</v>
      </c>
      <c r="L43" s="4">
        <v>1</v>
      </c>
      <c r="M43" s="4"/>
      <c r="N43" s="4"/>
      <c r="O43" s="4"/>
      <c r="P43" s="4"/>
      <c r="Q43" s="4"/>
      <c r="R43" s="4">
        <v>1</v>
      </c>
    </row>
    <row r="44" spans="1:18" x14ac:dyDescent="0.3">
      <c r="A44" t="s">
        <v>40</v>
      </c>
      <c r="C44" t="s">
        <v>71</v>
      </c>
      <c r="D44" s="4">
        <v>39</v>
      </c>
      <c r="E44" s="4">
        <v>44</v>
      </c>
      <c r="F44" s="4">
        <v>45</v>
      </c>
      <c r="G44" s="4">
        <v>50</v>
      </c>
      <c r="H44" s="4">
        <v>39</v>
      </c>
      <c r="I44" s="4">
        <v>37</v>
      </c>
      <c r="J44" s="4">
        <v>37</v>
      </c>
      <c r="K44" s="4">
        <v>46</v>
      </c>
      <c r="L44" s="4"/>
      <c r="M44" s="4">
        <v>3</v>
      </c>
      <c r="N44" s="4"/>
      <c r="O44" s="4"/>
      <c r="P44" s="4">
        <v>1</v>
      </c>
      <c r="Q44" s="4"/>
      <c r="R44" s="4"/>
    </row>
    <row r="45" spans="1:18" x14ac:dyDescent="0.3">
      <c r="A45" t="s">
        <v>40</v>
      </c>
      <c r="C45" t="s">
        <v>72</v>
      </c>
      <c r="D45" s="4">
        <v>3</v>
      </c>
      <c r="E45" s="4">
        <v>1</v>
      </c>
      <c r="F45" s="4">
        <v>1</v>
      </c>
      <c r="G45" s="4">
        <v>12</v>
      </c>
      <c r="H45" s="4">
        <v>2</v>
      </c>
      <c r="I45" s="4">
        <v>6</v>
      </c>
      <c r="J45" s="4">
        <v>1</v>
      </c>
      <c r="K45" s="4">
        <v>1</v>
      </c>
      <c r="L45" s="4">
        <v>4</v>
      </c>
      <c r="M45" s="4">
        <v>3</v>
      </c>
      <c r="N45" s="4"/>
      <c r="O45" s="4"/>
      <c r="P45" s="4"/>
      <c r="Q45" s="4"/>
      <c r="R45" s="4">
        <v>1</v>
      </c>
    </row>
    <row r="46" spans="1:18" x14ac:dyDescent="0.3">
      <c r="A46" t="s">
        <v>40</v>
      </c>
      <c r="C46" t="s">
        <v>73</v>
      </c>
      <c r="D46" s="4">
        <v>4</v>
      </c>
      <c r="E46" s="4">
        <v>3</v>
      </c>
      <c r="F46" s="4">
        <v>3</v>
      </c>
      <c r="G46" s="4">
        <v>4</v>
      </c>
      <c r="H46" s="4">
        <v>4</v>
      </c>
      <c r="I46" s="4">
        <v>2</v>
      </c>
      <c r="J46" s="4">
        <v>2</v>
      </c>
      <c r="K46" s="4">
        <v>3</v>
      </c>
      <c r="L46" s="4"/>
      <c r="M46" s="4"/>
      <c r="N46" s="4"/>
      <c r="O46" s="4"/>
      <c r="P46" s="4"/>
      <c r="Q46" s="4"/>
      <c r="R46" s="4">
        <v>5</v>
      </c>
    </row>
    <row r="47" spans="1:18" x14ac:dyDescent="0.3">
      <c r="A47" t="s">
        <v>40</v>
      </c>
      <c r="C47" t="s">
        <v>20</v>
      </c>
      <c r="D47" s="4"/>
      <c r="E47" s="4"/>
      <c r="F47" s="4"/>
      <c r="G47" s="4"/>
      <c r="H47" s="4"/>
      <c r="I47" s="4">
        <v>1</v>
      </c>
      <c r="J47" s="4"/>
      <c r="K47" s="4">
        <v>1</v>
      </c>
      <c r="L47" s="4">
        <v>1</v>
      </c>
      <c r="M47" s="4">
        <v>1</v>
      </c>
      <c r="N47" s="4">
        <v>1</v>
      </c>
      <c r="O47" s="4">
        <v>1</v>
      </c>
      <c r="P47" s="4">
        <v>1</v>
      </c>
      <c r="Q47" s="4">
        <v>1</v>
      </c>
      <c r="R47" s="4">
        <v>3</v>
      </c>
    </row>
    <row r="48" spans="1:18" x14ac:dyDescent="0.3">
      <c r="A48" t="s">
        <v>40</v>
      </c>
      <c r="C48" t="s">
        <v>74</v>
      </c>
      <c r="D48" s="4">
        <v>5</v>
      </c>
      <c r="E48" s="4">
        <v>3</v>
      </c>
      <c r="F48" s="4"/>
      <c r="G48" s="4">
        <v>1</v>
      </c>
      <c r="H48" s="4"/>
      <c r="I48" s="4">
        <v>2</v>
      </c>
      <c r="J48" s="4">
        <v>1</v>
      </c>
      <c r="K48" s="4">
        <v>2</v>
      </c>
      <c r="L48" s="4"/>
      <c r="M48" s="4"/>
      <c r="N48" s="4">
        <v>1</v>
      </c>
      <c r="O48" s="4"/>
      <c r="P48" s="4"/>
      <c r="Q48" s="4">
        <v>1</v>
      </c>
      <c r="R48" s="4">
        <v>6</v>
      </c>
    </row>
    <row r="49" spans="1:18" x14ac:dyDescent="0.3">
      <c r="A49" t="s">
        <v>40</v>
      </c>
      <c r="C49" t="s">
        <v>75</v>
      </c>
      <c r="D49" s="4">
        <v>9</v>
      </c>
      <c r="E49" s="4">
        <v>4</v>
      </c>
      <c r="F49" s="4"/>
      <c r="G49" s="4">
        <v>2</v>
      </c>
      <c r="H49" s="4"/>
      <c r="I49" s="4">
        <v>3</v>
      </c>
      <c r="J49" s="4"/>
      <c r="K49" s="4">
        <v>4</v>
      </c>
      <c r="L49" s="4">
        <v>1</v>
      </c>
      <c r="M49" s="4">
        <v>1</v>
      </c>
      <c r="N49" s="4">
        <v>2</v>
      </c>
      <c r="O49" s="4">
        <v>1</v>
      </c>
      <c r="P49" s="4">
        <v>1</v>
      </c>
      <c r="Q49" s="4">
        <v>4</v>
      </c>
      <c r="R49" s="4"/>
    </row>
    <row r="50" spans="1:18" x14ac:dyDescent="0.3">
      <c r="A50" t="s">
        <v>40</v>
      </c>
      <c r="C50" t="s">
        <v>76</v>
      </c>
      <c r="D50" s="4">
        <v>14</v>
      </c>
      <c r="E50" s="4">
        <v>10</v>
      </c>
      <c r="F50" s="4">
        <v>2</v>
      </c>
      <c r="G50" s="4">
        <v>3</v>
      </c>
      <c r="H50" s="4">
        <v>5</v>
      </c>
      <c r="I50" s="4">
        <v>3</v>
      </c>
      <c r="J50" s="4">
        <v>4</v>
      </c>
      <c r="K50" s="4">
        <v>6</v>
      </c>
      <c r="L50" s="4"/>
      <c r="M50" s="4"/>
      <c r="N50" s="4">
        <v>2</v>
      </c>
      <c r="O50" s="4">
        <v>2</v>
      </c>
      <c r="P50" s="4">
        <v>2</v>
      </c>
      <c r="Q50" s="4">
        <v>2</v>
      </c>
      <c r="R50" s="4"/>
    </row>
    <row r="51" spans="1:18" x14ac:dyDescent="0.3">
      <c r="A51" t="s">
        <v>40</v>
      </c>
      <c r="C51" t="s">
        <v>77</v>
      </c>
      <c r="D51" s="4">
        <v>9</v>
      </c>
      <c r="E51" s="4">
        <v>5</v>
      </c>
      <c r="F51" s="4">
        <v>1</v>
      </c>
      <c r="G51" s="4">
        <v>3</v>
      </c>
      <c r="H51" s="4">
        <v>1</v>
      </c>
      <c r="I51" s="4">
        <v>1</v>
      </c>
      <c r="J51" s="4">
        <v>2</v>
      </c>
      <c r="K51" s="4">
        <v>2</v>
      </c>
      <c r="L51" s="4"/>
      <c r="M51" s="4"/>
      <c r="N51" s="4"/>
      <c r="O51" s="4"/>
      <c r="P51" s="4"/>
      <c r="Q51" s="4">
        <v>2</v>
      </c>
      <c r="R51" s="4">
        <v>1</v>
      </c>
    </row>
    <row r="52" spans="1:18" x14ac:dyDescent="0.3">
      <c r="A52" t="s">
        <v>40</v>
      </c>
      <c r="C52" t="s">
        <v>78</v>
      </c>
      <c r="D52" s="4"/>
      <c r="E52" s="4"/>
      <c r="F52" s="4">
        <v>1</v>
      </c>
      <c r="G52" s="4">
        <v>1</v>
      </c>
      <c r="H52" s="4">
        <v>2</v>
      </c>
      <c r="I52" s="4">
        <v>2</v>
      </c>
      <c r="J52" s="4"/>
      <c r="K52" s="4"/>
      <c r="L52" s="4"/>
      <c r="M52" s="4">
        <v>1</v>
      </c>
      <c r="N52" s="4">
        <v>2</v>
      </c>
      <c r="O52" s="4"/>
      <c r="P52" s="4"/>
      <c r="Q52" s="4"/>
      <c r="R52" s="4">
        <v>1</v>
      </c>
    </row>
    <row r="53" spans="1:18" x14ac:dyDescent="0.3">
      <c r="A53" t="s">
        <v>40</v>
      </c>
      <c r="C53" t="s">
        <v>79</v>
      </c>
      <c r="D53" s="4">
        <v>8</v>
      </c>
      <c r="E53" s="4">
        <v>6</v>
      </c>
      <c r="F53" s="4">
        <v>5</v>
      </c>
      <c r="G53" s="4">
        <v>6</v>
      </c>
      <c r="H53" s="4">
        <v>3</v>
      </c>
      <c r="I53" s="4">
        <v>3</v>
      </c>
      <c r="J53" s="4">
        <v>3</v>
      </c>
      <c r="K53" s="4"/>
      <c r="L53" s="4"/>
      <c r="M53" s="4">
        <v>2</v>
      </c>
      <c r="N53" s="4">
        <v>1</v>
      </c>
      <c r="O53" s="4">
        <v>1</v>
      </c>
      <c r="P53" s="4"/>
      <c r="Q53" s="4"/>
      <c r="R53" s="4">
        <v>1</v>
      </c>
    </row>
    <row r="54" spans="1:18" x14ac:dyDescent="0.3">
      <c r="A54" t="s">
        <v>40</v>
      </c>
      <c r="C54" t="s">
        <v>80</v>
      </c>
      <c r="D54" s="4"/>
      <c r="E54" s="4"/>
      <c r="F54" s="4">
        <v>1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>
        <v>1</v>
      </c>
    </row>
    <row r="55" spans="1:18" x14ac:dyDescent="0.3">
      <c r="A55" t="s">
        <v>40</v>
      </c>
      <c r="C55" t="s">
        <v>81</v>
      </c>
      <c r="D55" s="4">
        <v>6</v>
      </c>
      <c r="E55" s="4">
        <v>6</v>
      </c>
      <c r="F55" s="4">
        <v>7</v>
      </c>
      <c r="G55" s="4">
        <v>9</v>
      </c>
      <c r="H55" s="4">
        <v>6</v>
      </c>
      <c r="I55" s="4">
        <v>3</v>
      </c>
      <c r="J55" s="4">
        <v>3</v>
      </c>
      <c r="K55" s="4"/>
      <c r="L55" s="4"/>
      <c r="M55" s="4">
        <v>3</v>
      </c>
      <c r="N55" s="4">
        <v>3</v>
      </c>
      <c r="O55" s="4">
        <v>1</v>
      </c>
      <c r="P55" s="4"/>
      <c r="Q55" s="4"/>
      <c r="R55" s="4">
        <v>2</v>
      </c>
    </row>
    <row r="56" spans="1:18" x14ac:dyDescent="0.3">
      <c r="A56" t="s">
        <v>40</v>
      </c>
      <c r="C56" t="s">
        <v>82</v>
      </c>
      <c r="D56" s="4">
        <v>1</v>
      </c>
      <c r="E56" s="4">
        <v>2</v>
      </c>
      <c r="F56" s="4">
        <v>2</v>
      </c>
      <c r="G56" s="4">
        <v>8</v>
      </c>
      <c r="H56" s="4">
        <v>1</v>
      </c>
      <c r="I56" s="4"/>
      <c r="J56" s="4"/>
      <c r="K56" s="4"/>
      <c r="L56" s="4"/>
      <c r="M56" s="4">
        <v>3</v>
      </c>
      <c r="N56" s="4">
        <v>1</v>
      </c>
      <c r="O56" s="4"/>
      <c r="P56" s="4"/>
      <c r="Q56" s="4"/>
      <c r="R56" s="4"/>
    </row>
    <row r="57" spans="1:18" x14ac:dyDescent="0.3">
      <c r="A57" t="s">
        <v>40</v>
      </c>
      <c r="C57" t="s">
        <v>12</v>
      </c>
      <c r="D57" s="4">
        <v>1</v>
      </c>
      <c r="E57" s="4">
        <v>1</v>
      </c>
      <c r="F57" s="4">
        <v>3</v>
      </c>
      <c r="G57" s="4">
        <v>2</v>
      </c>
      <c r="H57" s="4">
        <v>2</v>
      </c>
      <c r="I57" s="4">
        <v>2</v>
      </c>
      <c r="J57" s="4">
        <v>2</v>
      </c>
      <c r="K57" s="4">
        <v>2</v>
      </c>
      <c r="L57" s="4">
        <v>2</v>
      </c>
      <c r="M57" s="4">
        <v>2</v>
      </c>
      <c r="N57" s="4">
        <v>2</v>
      </c>
      <c r="O57" s="4"/>
      <c r="P57" s="4"/>
      <c r="Q57" s="4"/>
      <c r="R57" s="4"/>
    </row>
    <row r="58" spans="1:18" x14ac:dyDescent="0.3">
      <c r="A58" t="s">
        <v>40</v>
      </c>
      <c r="C58" t="s">
        <v>24</v>
      </c>
      <c r="D58" s="4">
        <v>1</v>
      </c>
      <c r="E58" s="4"/>
      <c r="F58" s="4"/>
      <c r="G58" s="4"/>
      <c r="H58" s="4"/>
      <c r="I58" s="4"/>
      <c r="J58" s="4"/>
      <c r="K58" s="4">
        <v>1</v>
      </c>
      <c r="L58" s="4"/>
      <c r="M58" s="4"/>
      <c r="N58" s="4"/>
      <c r="O58" s="4"/>
      <c r="P58" s="4"/>
      <c r="Q58" s="4"/>
      <c r="R58" s="4"/>
    </row>
    <row r="59" spans="1:18" x14ac:dyDescent="0.3">
      <c r="A59" t="s">
        <v>40</v>
      </c>
      <c r="C59" t="s">
        <v>25</v>
      </c>
      <c r="D59" s="4">
        <v>3</v>
      </c>
      <c r="E59" s="4">
        <v>6</v>
      </c>
      <c r="F59" s="4">
        <v>3</v>
      </c>
      <c r="G59" s="4">
        <v>3</v>
      </c>
      <c r="H59" s="4">
        <v>3</v>
      </c>
      <c r="I59" s="4">
        <v>4</v>
      </c>
      <c r="J59" s="4">
        <v>2</v>
      </c>
      <c r="K59" s="4">
        <v>3</v>
      </c>
      <c r="L59" s="4">
        <v>1</v>
      </c>
      <c r="M59" s="4">
        <v>2</v>
      </c>
      <c r="N59" s="4">
        <v>2</v>
      </c>
      <c r="O59" s="4">
        <v>1</v>
      </c>
      <c r="P59" s="4"/>
      <c r="Q59" s="4"/>
      <c r="R59" s="4"/>
    </row>
    <row r="60" spans="1:18" x14ac:dyDescent="0.3">
      <c r="A60" t="s">
        <v>40</v>
      </c>
      <c r="C60" t="s">
        <v>26</v>
      </c>
      <c r="D60" s="4">
        <v>3</v>
      </c>
      <c r="E60" s="4">
        <v>4</v>
      </c>
      <c r="F60" s="4"/>
      <c r="G60" s="4">
        <v>1</v>
      </c>
      <c r="H60" s="4">
        <v>1</v>
      </c>
      <c r="I60" s="4">
        <v>3</v>
      </c>
      <c r="J60" s="4">
        <v>1</v>
      </c>
      <c r="K60" s="4">
        <v>2</v>
      </c>
      <c r="L60" s="4">
        <v>4</v>
      </c>
      <c r="M60" s="4">
        <v>2</v>
      </c>
      <c r="N60" s="4">
        <v>3</v>
      </c>
      <c r="O60" s="4">
        <v>2</v>
      </c>
      <c r="P60" s="4"/>
      <c r="Q60" s="4"/>
      <c r="R60" s="4"/>
    </row>
    <row r="61" spans="1:18" x14ac:dyDescent="0.3">
      <c r="A61" t="s">
        <v>40</v>
      </c>
      <c r="C61" t="s">
        <v>27</v>
      </c>
      <c r="D61" s="4">
        <v>5</v>
      </c>
      <c r="E61" s="4">
        <v>4</v>
      </c>
      <c r="F61" s="4">
        <v>2</v>
      </c>
      <c r="G61" s="4">
        <v>1</v>
      </c>
      <c r="H61" s="4">
        <v>2</v>
      </c>
      <c r="I61" s="4">
        <v>1</v>
      </c>
      <c r="J61" s="4">
        <v>3</v>
      </c>
      <c r="K61" s="4">
        <v>3</v>
      </c>
      <c r="L61" s="4">
        <v>2</v>
      </c>
      <c r="M61" s="4">
        <v>2</v>
      </c>
      <c r="N61" s="4">
        <v>2</v>
      </c>
      <c r="O61" s="4">
        <v>2</v>
      </c>
      <c r="P61" s="4">
        <v>1</v>
      </c>
      <c r="Q61" s="4"/>
      <c r="R61" s="4"/>
    </row>
    <row r="62" spans="1:18" x14ac:dyDescent="0.3">
      <c r="A62" t="s">
        <v>40</v>
      </c>
      <c r="C62" t="s">
        <v>83</v>
      </c>
      <c r="D62" s="4">
        <v>1</v>
      </c>
      <c r="E62" s="4">
        <v>1</v>
      </c>
      <c r="F62" s="4">
        <v>1</v>
      </c>
      <c r="G62" s="4">
        <v>1</v>
      </c>
      <c r="H62" s="4">
        <v>1</v>
      </c>
      <c r="I62" s="4">
        <v>1</v>
      </c>
      <c r="J62" s="4">
        <v>1</v>
      </c>
      <c r="K62" s="4">
        <v>1</v>
      </c>
      <c r="L62" s="4">
        <v>1</v>
      </c>
      <c r="M62" s="4">
        <v>1</v>
      </c>
      <c r="N62" s="4">
        <v>1</v>
      </c>
      <c r="O62" s="4">
        <v>1</v>
      </c>
      <c r="P62" s="4"/>
      <c r="Q62" s="4"/>
      <c r="R62" s="4"/>
    </row>
    <row r="63" spans="1:18" x14ac:dyDescent="0.3">
      <c r="A63" t="s">
        <v>40</v>
      </c>
      <c r="C63" t="s">
        <v>21</v>
      </c>
      <c r="D63" s="4">
        <v>2</v>
      </c>
      <c r="E63" s="4">
        <v>2</v>
      </c>
      <c r="F63" s="4">
        <v>2</v>
      </c>
      <c r="G63" s="4">
        <v>2</v>
      </c>
      <c r="H63" s="4">
        <v>2</v>
      </c>
      <c r="I63" s="4">
        <v>2</v>
      </c>
      <c r="J63" s="4">
        <v>2</v>
      </c>
      <c r="K63" s="4">
        <v>3</v>
      </c>
      <c r="L63" s="4">
        <v>1</v>
      </c>
      <c r="M63" s="4">
        <v>1</v>
      </c>
      <c r="N63" s="4">
        <v>1</v>
      </c>
      <c r="O63" s="4">
        <v>1</v>
      </c>
      <c r="P63" s="4">
        <v>1</v>
      </c>
      <c r="Q63" s="4">
        <v>1</v>
      </c>
      <c r="R63" s="4"/>
    </row>
    <row r="64" spans="1:18" x14ac:dyDescent="0.3">
      <c r="A64" t="s">
        <v>40</v>
      </c>
      <c r="C64" t="s">
        <v>22</v>
      </c>
      <c r="D64" s="4">
        <v>2</v>
      </c>
      <c r="E64" s="4">
        <v>2</v>
      </c>
      <c r="F64" s="4">
        <v>2</v>
      </c>
      <c r="G64" s="4">
        <v>2</v>
      </c>
      <c r="H64" s="4">
        <v>2</v>
      </c>
      <c r="I64" s="4">
        <v>2</v>
      </c>
      <c r="J64" s="4">
        <v>2</v>
      </c>
      <c r="K64" s="4">
        <v>2</v>
      </c>
      <c r="L64" s="4"/>
      <c r="M64" s="4"/>
      <c r="N64" s="4"/>
      <c r="O64" s="4"/>
      <c r="P64" s="4"/>
      <c r="Q64" s="4"/>
      <c r="R64" s="4">
        <v>1</v>
      </c>
    </row>
    <row r="65" spans="1:18" x14ac:dyDescent="0.3">
      <c r="A65" t="s">
        <v>40</v>
      </c>
      <c r="C65" t="s">
        <v>84</v>
      </c>
      <c r="D65" s="4">
        <v>2</v>
      </c>
      <c r="E65" s="4">
        <v>2</v>
      </c>
      <c r="F65" s="4">
        <v>2</v>
      </c>
      <c r="G65" s="4">
        <v>2</v>
      </c>
      <c r="H65" s="4">
        <v>2</v>
      </c>
      <c r="I65" s="4">
        <v>2</v>
      </c>
      <c r="J65" s="4">
        <v>2</v>
      </c>
      <c r="K65" s="4">
        <v>2</v>
      </c>
      <c r="L65" s="4"/>
      <c r="M65" s="4"/>
      <c r="N65" s="4"/>
      <c r="O65" s="4"/>
      <c r="P65" s="4"/>
      <c r="Q65" s="4"/>
      <c r="R65" s="4">
        <v>1</v>
      </c>
    </row>
    <row r="66" spans="1:18" x14ac:dyDescent="0.3">
      <c r="A66" t="s">
        <v>40</v>
      </c>
      <c r="C66" t="s">
        <v>85</v>
      </c>
      <c r="D66" s="4">
        <v>20</v>
      </c>
      <c r="E66" s="4">
        <v>12</v>
      </c>
      <c r="F66" s="4">
        <v>12</v>
      </c>
      <c r="G66" s="4">
        <v>12</v>
      </c>
      <c r="H66" s="4">
        <v>15</v>
      </c>
      <c r="I66" s="4">
        <v>13</v>
      </c>
      <c r="J66" s="4">
        <v>12</v>
      </c>
      <c r="K66" s="4">
        <v>21</v>
      </c>
      <c r="L66" s="4"/>
      <c r="M66" s="4"/>
      <c r="N66" s="4"/>
      <c r="O66" s="4"/>
      <c r="P66" s="4"/>
      <c r="Q66" s="4"/>
      <c r="R66" s="4"/>
    </row>
    <row r="67" spans="1:18" x14ac:dyDescent="0.3">
      <c r="A67" t="s">
        <v>40</v>
      </c>
      <c r="C67" t="s">
        <v>86</v>
      </c>
      <c r="D67" s="4">
        <v>7</v>
      </c>
      <c r="E67" s="4">
        <v>5</v>
      </c>
      <c r="F67" s="4">
        <v>4</v>
      </c>
      <c r="G67" s="4">
        <v>3</v>
      </c>
      <c r="H67" s="4">
        <v>4</v>
      </c>
      <c r="I67" s="4">
        <v>1</v>
      </c>
      <c r="J67" s="4">
        <v>1</v>
      </c>
      <c r="K67" s="4">
        <v>1</v>
      </c>
      <c r="L67" s="4"/>
      <c r="M67" s="4"/>
      <c r="N67" s="4"/>
      <c r="O67" s="4"/>
      <c r="P67" s="4"/>
      <c r="Q67" s="4"/>
      <c r="R67" s="4">
        <v>1</v>
      </c>
    </row>
    <row r="68" spans="1:18" x14ac:dyDescent="0.3">
      <c r="A68" t="s">
        <v>40</v>
      </c>
      <c r="C68" t="s">
        <v>87</v>
      </c>
      <c r="D68" s="4">
        <v>20</v>
      </c>
      <c r="E68" s="4">
        <v>16</v>
      </c>
      <c r="F68" s="4">
        <v>22</v>
      </c>
      <c r="G68" s="4">
        <v>20</v>
      </c>
      <c r="H68" s="4">
        <v>20</v>
      </c>
      <c r="I68" s="4">
        <v>16</v>
      </c>
      <c r="J68" s="4">
        <v>15</v>
      </c>
      <c r="K68" s="4">
        <v>22</v>
      </c>
      <c r="L68" s="4"/>
      <c r="M68" s="4">
        <v>2</v>
      </c>
      <c r="N68" s="4"/>
      <c r="O68" s="4"/>
      <c r="P68" s="4"/>
      <c r="Q68" s="4"/>
      <c r="R68" s="4"/>
    </row>
    <row r="69" spans="1:18" x14ac:dyDescent="0.3">
      <c r="A69" t="s">
        <v>40</v>
      </c>
      <c r="C69" t="s">
        <v>88</v>
      </c>
      <c r="D69" s="4"/>
      <c r="E69" s="4"/>
      <c r="F69" s="4"/>
      <c r="G69" s="4">
        <v>1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</row>
    <row r="70" spans="1:18" x14ac:dyDescent="0.3">
      <c r="A70" t="s">
        <v>40</v>
      </c>
      <c r="C70" t="s">
        <v>89</v>
      </c>
      <c r="D70" s="4">
        <v>6</v>
      </c>
      <c r="E70" s="4">
        <v>7</v>
      </c>
      <c r="F70" s="4">
        <v>8</v>
      </c>
      <c r="G70" s="4">
        <v>8</v>
      </c>
      <c r="H70" s="4">
        <v>8</v>
      </c>
      <c r="I70" s="4">
        <v>9</v>
      </c>
      <c r="J70" s="4">
        <v>6</v>
      </c>
      <c r="K70" s="4">
        <v>7</v>
      </c>
      <c r="L70" s="4"/>
      <c r="M70" s="4">
        <v>1</v>
      </c>
      <c r="N70" s="4"/>
      <c r="O70" s="4"/>
      <c r="P70" s="4"/>
      <c r="Q70" s="4"/>
      <c r="R70" s="4"/>
    </row>
    <row r="71" spans="1:18" x14ac:dyDescent="0.3">
      <c r="A71" t="s">
        <v>40</v>
      </c>
      <c r="C71" t="s">
        <v>90</v>
      </c>
      <c r="D71" s="4">
        <v>1</v>
      </c>
      <c r="E71" s="4">
        <v>1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</row>
    <row r="72" spans="1:18" x14ac:dyDescent="0.3">
      <c r="A72" t="s">
        <v>40</v>
      </c>
      <c r="C72" t="s">
        <v>91</v>
      </c>
      <c r="D72" s="4">
        <v>1</v>
      </c>
      <c r="E72" s="4">
        <v>1</v>
      </c>
      <c r="F72" s="4"/>
      <c r="G72" s="4">
        <v>1</v>
      </c>
      <c r="H72" s="4">
        <v>1</v>
      </c>
      <c r="I72" s="4">
        <v>1</v>
      </c>
      <c r="J72" s="4">
        <v>1</v>
      </c>
      <c r="K72" s="4">
        <v>1</v>
      </c>
      <c r="L72" s="4"/>
      <c r="M72" s="4"/>
      <c r="N72" s="4"/>
      <c r="O72" s="4"/>
      <c r="P72" s="4"/>
      <c r="Q72" s="4"/>
      <c r="R72" s="4"/>
    </row>
    <row r="73" spans="1:18" x14ac:dyDescent="0.3">
      <c r="A73" t="s">
        <v>40</v>
      </c>
      <c r="C73" t="s">
        <v>92</v>
      </c>
      <c r="D73" s="4">
        <v>1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</row>
    <row r="74" spans="1:18" x14ac:dyDescent="0.3"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R74" s="4"/>
    </row>
    <row r="75" spans="1:18" x14ac:dyDescent="0.3"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R75" s="4">
        <v>2</v>
      </c>
    </row>
    <row r="76" spans="1:18" x14ac:dyDescent="0.3"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R76" s="4"/>
    </row>
    <row r="77" spans="1:18" x14ac:dyDescent="0.3"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R77" s="4"/>
    </row>
    <row r="78" spans="1:18" x14ac:dyDescent="0.3"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</row>
    <row r="79" spans="1:18" x14ac:dyDescent="0.3"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</row>
    <row r="80" spans="1:18" x14ac:dyDescent="0.3"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</row>
    <row r="81" spans="4:14" x14ac:dyDescent="0.3"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</row>
    <row r="82" spans="4:14" x14ac:dyDescent="0.3"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</row>
    <row r="83" spans="4:14" x14ac:dyDescent="0.3"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</row>
    <row r="84" spans="4:14" x14ac:dyDescent="0.3"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</row>
    <row r="85" spans="4:14" x14ac:dyDescent="0.3"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</row>
    <row r="86" spans="4:14" x14ac:dyDescent="0.3"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</row>
    <row r="87" spans="4:14" x14ac:dyDescent="0.3"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</row>
  </sheetData>
  <autoFilter ref="A4:N87" xr:uid="{00000000-0009-0000-0000-000004000000}"/>
  <mergeCells count="3">
    <mergeCell ref="A1:A2"/>
    <mergeCell ref="B1:B2"/>
    <mergeCell ref="C1:C2"/>
  </mergeCells>
  <conditionalFormatting sqref="D5:N87">
    <cfRule type="dataBar" priority="8">
      <dataBar>
        <cfvo type="num" val="0"/>
        <cfvo type="max"/>
        <color rgb="FF4F81BD"/>
      </dataBar>
    </cfRule>
  </conditionalFormatting>
  <conditionalFormatting sqref="O5:Q73">
    <cfRule type="dataBar" priority="12">
      <dataBar>
        <cfvo type="num" val="0"/>
        <cfvo type="max"/>
        <color rgb="FF4F81BD"/>
      </dataBar>
    </cfRule>
  </conditionalFormatting>
  <conditionalFormatting sqref="R5:R77">
    <cfRule type="dataBar" priority="13">
      <dataBar>
        <cfvo type="num" val="0"/>
        <cfvo type="max"/>
        <color rgb="FF4F81BD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HISTOGRAMA</vt:lpstr>
      <vt:lpstr>HISTOGRAMA_EXCEDENTE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Gabriel Cunha Urpia</dc:creator>
  <cp:lastModifiedBy>Joao Gabriel Cunha Urpia</cp:lastModifiedBy>
  <dcterms:created xsi:type="dcterms:W3CDTF">2026-01-27T13:10:11Z</dcterms:created>
  <dcterms:modified xsi:type="dcterms:W3CDTF">2026-03-03T12:03:43Z</dcterms:modified>
</cp:coreProperties>
</file>