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tos_Python\Dashboard_Sauipe\dados\16 a 22-02\"/>
    </mc:Choice>
  </mc:AlternateContent>
  <xr:revisionPtr revIDLastSave="0" documentId="13_ncr:1_{A9310012-79A9-45C5-AE9E-D12A5B207B12}" xr6:coauthVersionLast="47" xr6:coauthVersionMax="47" xr10:uidLastSave="{00000000-0000-0000-0000-000000000000}"/>
  <bookViews>
    <workbookView xWindow="28680" yWindow="-120" windowWidth="29040" windowHeight="15720" xr2:uid="{BAE7E909-A9ED-4488-BF07-0D01A6757217}"/>
  </bookViews>
  <sheets>
    <sheet name="HISTOGRAMA" sheetId="1" r:id="rId1"/>
    <sheet name="HISTOGRAMA_EXCEDENTE" sheetId="2" r:id="rId2"/>
  </sheets>
  <definedNames>
    <definedName name="_xlnm._FilterDatabase" localSheetId="0" hidden="1">HISTOGRAMA!$A$4:$C$127</definedName>
    <definedName name="_xlnm._FilterDatabase" localSheetId="1" hidden="1">HISTOGRAMA_EXCEDENTE!$A$4:$C$87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J3" i="2"/>
  <c r="I3" i="2"/>
  <c r="H3" i="2"/>
  <c r="G3" i="2"/>
  <c r="F3" i="2"/>
  <c r="D3" i="2"/>
  <c r="AD4" i="2"/>
</calcChain>
</file>

<file path=xl/sharedStrings.xml><?xml version="1.0" encoding="utf-8"?>
<sst xmlns="http://schemas.openxmlformats.org/spreadsheetml/2006/main" count="320" uniqueCount="89">
  <si>
    <t>PERFORMANCE</t>
  </si>
  <si>
    <t>CCUSTO</t>
  </si>
  <si>
    <t>CARGO</t>
  </si>
  <si>
    <t>QUI</t>
  </si>
  <si>
    <t>SEX</t>
  </si>
  <si>
    <t>SÁB</t>
  </si>
  <si>
    <t>DOM</t>
  </si>
  <si>
    <t>SEG</t>
  </si>
  <si>
    <t>TER</t>
  </si>
  <si>
    <t>QUA</t>
  </si>
  <si>
    <t>SUBTOTAL (FILTRO)</t>
  </si>
  <si>
    <t>CAIXA - 15:20</t>
  </si>
  <si>
    <t>MOTORISTA - 08:00</t>
  </si>
  <si>
    <t>ARRUMADOR - 08:00</t>
  </si>
  <si>
    <t>ARRUMADOR - 11:00</t>
  </si>
  <si>
    <t>ARRUMADOR - 15:20</t>
  </si>
  <si>
    <t>CAMAREIRA - 08:00</t>
  </si>
  <si>
    <t>CAMAREIRA - 11:00</t>
  </si>
  <si>
    <t>CAMAREIRA - 15:20</t>
  </si>
  <si>
    <t>COSTUREIRA - 08:00</t>
  </si>
  <si>
    <t>INSPETOR DE GOVERNANÇA - 08:00</t>
  </si>
  <si>
    <t>ROUPEIRO - 08:00</t>
  </si>
  <si>
    <t>ROUPEIRO - 11:00</t>
  </si>
  <si>
    <t>CONCIERGE - 07:00</t>
  </si>
  <si>
    <t>RECEPCIONISTA - 07:00</t>
  </si>
  <si>
    <t>RECEPCIONISTA - 08:00</t>
  </si>
  <si>
    <t>RECEPCIONISTA - 11:00</t>
  </si>
  <si>
    <t>RECEPCIONISTA - 15:20</t>
  </si>
  <si>
    <t>GERAL</t>
  </si>
  <si>
    <t>2º COZINHEIRO - 08:00</t>
  </si>
  <si>
    <t>2º COZINHEIRO - 11:00</t>
  </si>
  <si>
    <t>2º COZINHEIRO - 15:20</t>
  </si>
  <si>
    <t>2º COZINHEIRO - 23:20</t>
  </si>
  <si>
    <t>2º COZINHEIRO - BAIANA - 08:00</t>
  </si>
  <si>
    <t>AJUDANTE DE COZINHA - 07:00</t>
  </si>
  <si>
    <t>AJUDANTE DE COZINHA - 08:00</t>
  </si>
  <si>
    <t>AJUDANTE DE COZINHA - 11:00</t>
  </si>
  <si>
    <t>AJUDANTE DE COZINHA - 15:20</t>
  </si>
  <si>
    <t>AJUDANTE DE COZINHA - 23:20</t>
  </si>
  <si>
    <t>ATENDENTE DE MESA - 08:00</t>
  </si>
  <si>
    <t>ATENDENTE DE RECEPTIVO - 08:00</t>
  </si>
  <si>
    <t>ATENDENTE DE RECEPTIVO - 11:00</t>
  </si>
  <si>
    <t>AUXILIAR DE LIMPEZA - 08:00</t>
  </si>
  <si>
    <t>AUXILIAR DE LIMPEZA - 11:00</t>
  </si>
  <si>
    <t>AUXILIAR DE LIMPEZA - 15:20</t>
  </si>
  <si>
    <t>AUXILIAR DE LIMPEZA - 23:20</t>
  </si>
  <si>
    <t>AUXILIAR DE PRAIA - 07:00</t>
  </si>
  <si>
    <t>AUXILIAR DE PRAIA - 11:00</t>
  </si>
  <si>
    <t>BARMAN - 07:00</t>
  </si>
  <si>
    <t>BARMAN - 08:00</t>
  </si>
  <si>
    <t>BARMAN - 11:00</t>
  </si>
  <si>
    <t>BARMAN - 15:20</t>
  </si>
  <si>
    <t>BARMAN - 19:00</t>
  </si>
  <si>
    <t>CAIXA - 08:00</t>
  </si>
  <si>
    <t>CAIXA - 23:20</t>
  </si>
  <si>
    <t>CAMAREIRA - 23:20</t>
  </si>
  <si>
    <t>GARÇOM - 07:00</t>
  </si>
  <si>
    <t>GARÇOM - 08:00</t>
  </si>
  <si>
    <t>GARÇOM - 11:00</t>
  </si>
  <si>
    <t>GARÇOM - 15:20</t>
  </si>
  <si>
    <t>GARÇOM - 19:00</t>
  </si>
  <si>
    <t>GARÇOM - 23:20</t>
  </si>
  <si>
    <t>MENSAGEIRO - 07:00</t>
  </si>
  <si>
    <t>MENSAGEIRO - 08:00</t>
  </si>
  <si>
    <t>MENSAGEIRO - 11:00</t>
  </si>
  <si>
    <t>MENSAGEIRO - 15:20</t>
  </si>
  <si>
    <t>MONTADOR - 07:00</t>
  </si>
  <si>
    <t>MONTADOR - 08:00</t>
  </si>
  <si>
    <t>MONTADOR - 11:00</t>
  </si>
  <si>
    <t>MONTADOR - 15:20</t>
  </si>
  <si>
    <t>MONTADOR - 23:20</t>
  </si>
  <si>
    <t>RECEPCIONISTA - 23:20</t>
  </si>
  <si>
    <t>SALVA-VIDAS - 07:00</t>
  </si>
  <si>
    <t>STEWARD - 07:00</t>
  </si>
  <si>
    <t>STEWARD - 08:00</t>
  </si>
  <si>
    <t>STEWARD - 15:20</t>
  </si>
  <si>
    <t>STEWARD - 19:00</t>
  </si>
  <si>
    <t>STEWARD - 23:20</t>
  </si>
  <si>
    <t>SUPERVISOR DE LIMPEZA - 08:00</t>
  </si>
  <si>
    <t>SUPERVISOR DE LIMPEZA - 15:20</t>
  </si>
  <si>
    <t>SUPERVISOR DE LIMPEZA - 23:20</t>
  </si>
  <si>
    <t>15/02</t>
  </si>
  <si>
    <t>16/02</t>
  </si>
  <si>
    <t>17/02</t>
  </si>
  <si>
    <t>18/02</t>
  </si>
  <si>
    <t>19/02</t>
  </si>
  <si>
    <t>20/02</t>
  </si>
  <si>
    <t>21/02</t>
  </si>
  <si>
    <t>22/02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</si>
</sst>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7815-C5A2-4226-9F37-0720A4C4980B}">
  <dimension ref="A1:J78"/>
  <sheetViews>
    <sheetView tabSelected="1" zoomScaleNormal="100" workbookViewId="0">
      <pane xSplit="3" ySplit="4" topLeftCell="D5" activePane="bottomRight" state="frozen"/>
      <selection activeCell="D3" sqref="D3:AB3"/>
      <selection pane="topRight" activeCell="D3" sqref="D3:AB3"/>
      <selection pane="bottomLeft" activeCell="D3" sqref="D3:AB3"/>
      <selection pane="bottomRight" activeCell="D1" sqref="D1:R1048576"/>
    </sheetView>
  </sheetViews>
  <sheetFormatPr defaultRowHeight="14.4" x14ac:dyDescent="0.3"/>
  <cols>
    <col min="1" max="1" width="18.5546875" bestFit="1" customWidth="1"/>
    <col min="2" max="2" width="12.33203125" bestFit="1" customWidth="1"/>
    <col min="3" max="3" width="30.77734375" bestFit="1" customWidth="1"/>
    <col min="4" max="10" width="5.88671875" bestFit="1" customWidth="1"/>
  </cols>
  <sheetData>
    <row r="1" spans="1:10" ht="18" customHeight="1" x14ac:dyDescent="0.3">
      <c r="A1" s="5" t="s">
        <v>0</v>
      </c>
      <c r="B1" s="5" t="s">
        <v>1</v>
      </c>
      <c r="C1" s="5" t="s">
        <v>2</v>
      </c>
      <c r="D1" s="1" t="s">
        <v>7</v>
      </c>
      <c r="E1" s="1" t="s">
        <v>8</v>
      </c>
      <c r="F1" s="1" t="s">
        <v>9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 ht="18" customHeight="1" x14ac:dyDescent="0.3">
      <c r="A2" s="5"/>
      <c r="B2" s="5"/>
      <c r="C2" s="5"/>
      <c r="D2" s="1">
        <v>16</v>
      </c>
      <c r="E2" s="1">
        <v>17</v>
      </c>
      <c r="F2" s="1">
        <v>18</v>
      </c>
      <c r="G2" s="1">
        <v>19</v>
      </c>
      <c r="H2" s="1">
        <v>20</v>
      </c>
      <c r="I2" s="1">
        <v>21</v>
      </c>
      <c r="J2" s="1">
        <v>22</v>
      </c>
    </row>
    <row r="3" spans="1:10" ht="18" customHeight="1" x14ac:dyDescent="0.3">
      <c r="A3" s="2" t="s">
        <v>10</v>
      </c>
      <c r="B3" s="2"/>
      <c r="C3" s="2"/>
      <c r="D3" s="3">
        <v>286</v>
      </c>
      <c r="E3" s="3">
        <v>265</v>
      </c>
      <c r="F3" s="3">
        <v>250</v>
      </c>
      <c r="G3" s="3">
        <v>273</v>
      </c>
      <c r="H3" s="3">
        <v>253</v>
      </c>
      <c r="I3" s="3">
        <v>235</v>
      </c>
      <c r="J3" s="3">
        <v>351</v>
      </c>
    </row>
    <row r="4" spans="1:10" ht="18" customHeight="1" x14ac:dyDescent="0.3">
      <c r="A4" s="1" t="s">
        <v>0</v>
      </c>
      <c r="B4" s="1" t="s">
        <v>1</v>
      </c>
      <c r="C4" s="1" t="s">
        <v>2</v>
      </c>
      <c r="D4" s="1" t="s">
        <v>82</v>
      </c>
      <c r="E4" s="1" t="s">
        <v>83</v>
      </c>
      <c r="F4" s="1" t="s">
        <v>84</v>
      </c>
      <c r="G4" s="1" t="s">
        <v>85</v>
      </c>
      <c r="H4" s="1" t="s">
        <v>86</v>
      </c>
      <c r="I4" s="1" t="s">
        <v>87</v>
      </c>
      <c r="J4" s="1" t="s">
        <v>88</v>
      </c>
    </row>
    <row r="5" spans="1:10" x14ac:dyDescent="0.3">
      <c r="A5" t="s">
        <v>28</v>
      </c>
      <c r="C5" t="s">
        <v>29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</row>
    <row r="6" spans="1:10" x14ac:dyDescent="0.3">
      <c r="A6" t="s">
        <v>28</v>
      </c>
      <c r="C6" t="s">
        <v>30</v>
      </c>
      <c r="D6" s="4">
        <v>2</v>
      </c>
      <c r="E6" s="4">
        <v>1</v>
      </c>
      <c r="F6" s="4">
        <v>1</v>
      </c>
      <c r="G6" s="4">
        <v>2</v>
      </c>
      <c r="H6" s="4">
        <v>1</v>
      </c>
      <c r="I6" s="4">
        <v>1</v>
      </c>
      <c r="J6" s="4">
        <v>1</v>
      </c>
    </row>
    <row r="7" spans="1:10" x14ac:dyDescent="0.3">
      <c r="A7" t="s">
        <v>28</v>
      </c>
      <c r="C7" t="s">
        <v>31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</row>
    <row r="8" spans="1:10" x14ac:dyDescent="0.3">
      <c r="A8" t="s">
        <v>28</v>
      </c>
      <c r="C8" t="s">
        <v>32</v>
      </c>
      <c r="D8" s="4">
        <v>2</v>
      </c>
      <c r="E8" s="4">
        <v>2</v>
      </c>
      <c r="F8" s="4">
        <v>2</v>
      </c>
      <c r="G8" s="4">
        <v>2</v>
      </c>
      <c r="H8" s="4">
        <v>2</v>
      </c>
      <c r="I8" s="4">
        <v>2</v>
      </c>
      <c r="J8" s="4">
        <v>2</v>
      </c>
    </row>
    <row r="9" spans="1:10" x14ac:dyDescent="0.3">
      <c r="A9" t="s">
        <v>28</v>
      </c>
      <c r="C9" t="s">
        <v>33</v>
      </c>
      <c r="D9" s="4">
        <v>1</v>
      </c>
      <c r="E9" s="4">
        <v>0</v>
      </c>
      <c r="F9" s="4">
        <v>1</v>
      </c>
      <c r="G9" s="4">
        <v>0</v>
      </c>
      <c r="H9" s="4">
        <v>1</v>
      </c>
      <c r="I9" s="4">
        <v>0</v>
      </c>
      <c r="J9" s="4">
        <v>1</v>
      </c>
    </row>
    <row r="10" spans="1:10" x14ac:dyDescent="0.3">
      <c r="A10" t="s">
        <v>28</v>
      </c>
      <c r="C10" t="s">
        <v>34</v>
      </c>
      <c r="D10" s="4">
        <v>0</v>
      </c>
      <c r="E10" s="4">
        <v>0</v>
      </c>
      <c r="F10" s="4">
        <v>0</v>
      </c>
      <c r="G10" s="4">
        <v>1</v>
      </c>
      <c r="H10" s="4">
        <v>0</v>
      </c>
      <c r="I10" s="4">
        <v>0</v>
      </c>
      <c r="J10" s="4">
        <v>2</v>
      </c>
    </row>
    <row r="11" spans="1:10" x14ac:dyDescent="0.3">
      <c r="A11" t="s">
        <v>28</v>
      </c>
      <c r="C11" t="s">
        <v>35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</row>
    <row r="12" spans="1:10" x14ac:dyDescent="0.3">
      <c r="A12" t="s">
        <v>28</v>
      </c>
      <c r="C12" t="s">
        <v>36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</row>
    <row r="13" spans="1:10" x14ac:dyDescent="0.3">
      <c r="A13" t="s">
        <v>28</v>
      </c>
      <c r="C13" t="s">
        <v>37</v>
      </c>
      <c r="D13" s="4">
        <v>18</v>
      </c>
      <c r="E13" s="4">
        <v>21</v>
      </c>
      <c r="F13" s="4">
        <v>13</v>
      </c>
      <c r="G13" s="4">
        <v>14</v>
      </c>
      <c r="H13" s="4">
        <v>12</v>
      </c>
      <c r="I13" s="4">
        <v>10</v>
      </c>
      <c r="J13" s="4">
        <v>28</v>
      </c>
    </row>
    <row r="14" spans="1:10" x14ac:dyDescent="0.3">
      <c r="A14" t="s">
        <v>28</v>
      </c>
      <c r="C14" t="s">
        <v>38</v>
      </c>
      <c r="D14" s="4">
        <v>6</v>
      </c>
      <c r="E14" s="4">
        <v>8</v>
      </c>
      <c r="F14" s="4">
        <v>8</v>
      </c>
      <c r="G14" s="4">
        <v>8</v>
      </c>
      <c r="H14" s="4">
        <v>8</v>
      </c>
      <c r="I14" s="4">
        <v>7</v>
      </c>
      <c r="J14" s="4">
        <v>13</v>
      </c>
    </row>
    <row r="15" spans="1:10" x14ac:dyDescent="0.3">
      <c r="A15" t="s">
        <v>28</v>
      </c>
      <c r="C15" t="s">
        <v>13</v>
      </c>
      <c r="D15" s="4">
        <v>3</v>
      </c>
      <c r="E15" s="4">
        <v>3</v>
      </c>
      <c r="F15" s="4">
        <v>3</v>
      </c>
      <c r="G15" s="4">
        <v>3</v>
      </c>
      <c r="H15" s="4">
        <v>3</v>
      </c>
      <c r="I15" s="4">
        <v>3</v>
      </c>
      <c r="J15" s="4">
        <v>3</v>
      </c>
    </row>
    <row r="16" spans="1:10" x14ac:dyDescent="0.3">
      <c r="A16" t="s">
        <v>28</v>
      </c>
      <c r="C16" t="s">
        <v>14</v>
      </c>
      <c r="D16" s="4">
        <v>32</v>
      </c>
      <c r="E16" s="4">
        <v>32</v>
      </c>
      <c r="F16" s="4">
        <v>29</v>
      </c>
      <c r="G16" s="4">
        <v>28</v>
      </c>
      <c r="H16" s="4">
        <v>27</v>
      </c>
      <c r="I16" s="4">
        <v>25</v>
      </c>
      <c r="J16" s="4">
        <v>32</v>
      </c>
    </row>
    <row r="17" spans="1:10" x14ac:dyDescent="0.3">
      <c r="A17" t="s">
        <v>28</v>
      </c>
      <c r="C17" t="s">
        <v>15</v>
      </c>
      <c r="D17" s="4">
        <v>4</v>
      </c>
      <c r="E17" s="4">
        <v>6</v>
      </c>
      <c r="F17" s="4">
        <v>4</v>
      </c>
      <c r="G17" s="4">
        <v>6</v>
      </c>
      <c r="H17" s="4">
        <v>4</v>
      </c>
      <c r="I17" s="4">
        <v>4</v>
      </c>
      <c r="J17" s="4">
        <v>8</v>
      </c>
    </row>
    <row r="18" spans="1:10" x14ac:dyDescent="0.3">
      <c r="A18" t="s">
        <v>28</v>
      </c>
      <c r="C18" t="s">
        <v>39</v>
      </c>
      <c r="D18" s="4">
        <v>7</v>
      </c>
      <c r="E18" s="4">
        <v>7</v>
      </c>
      <c r="F18" s="4">
        <v>7</v>
      </c>
      <c r="G18" s="4">
        <v>7</v>
      </c>
      <c r="H18" s="4">
        <v>5</v>
      </c>
      <c r="I18" s="4">
        <v>6</v>
      </c>
      <c r="J18" s="4">
        <v>6</v>
      </c>
    </row>
    <row r="19" spans="1:10" x14ac:dyDescent="0.3">
      <c r="A19" t="s">
        <v>28</v>
      </c>
      <c r="C19" t="s">
        <v>40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</row>
    <row r="20" spans="1:10" x14ac:dyDescent="0.3">
      <c r="A20" t="s">
        <v>28</v>
      </c>
      <c r="C20" t="s">
        <v>41</v>
      </c>
      <c r="D20" s="4">
        <v>3</v>
      </c>
      <c r="E20" s="4">
        <v>2</v>
      </c>
      <c r="F20" s="4">
        <v>2</v>
      </c>
      <c r="G20" s="4">
        <v>1</v>
      </c>
      <c r="H20" s="4">
        <v>2</v>
      </c>
      <c r="I20" s="4">
        <v>1</v>
      </c>
      <c r="J20" s="4">
        <v>2</v>
      </c>
    </row>
    <row r="21" spans="1:10" x14ac:dyDescent="0.3">
      <c r="A21" t="s">
        <v>28</v>
      </c>
      <c r="C21" t="s">
        <v>42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</row>
    <row r="22" spans="1:10" x14ac:dyDescent="0.3">
      <c r="A22" t="s">
        <v>28</v>
      </c>
      <c r="C22" t="s">
        <v>43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</row>
    <row r="23" spans="1:10" x14ac:dyDescent="0.3">
      <c r="A23" t="s">
        <v>28</v>
      </c>
      <c r="C23" t="s">
        <v>44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</row>
    <row r="24" spans="1:10" x14ac:dyDescent="0.3">
      <c r="A24" t="s">
        <v>28</v>
      </c>
      <c r="C24" t="s">
        <v>45</v>
      </c>
      <c r="D24" s="4">
        <v>5</v>
      </c>
      <c r="E24" s="4">
        <v>6</v>
      </c>
      <c r="F24" s="4">
        <v>4</v>
      </c>
      <c r="G24" s="4">
        <v>6</v>
      </c>
      <c r="H24" s="4">
        <v>4</v>
      </c>
      <c r="I24" s="4">
        <v>4</v>
      </c>
      <c r="J24" s="4">
        <v>4</v>
      </c>
    </row>
    <row r="25" spans="1:10" x14ac:dyDescent="0.3">
      <c r="A25" t="s">
        <v>28</v>
      </c>
      <c r="C25" t="s">
        <v>46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</row>
    <row r="26" spans="1:10" x14ac:dyDescent="0.3">
      <c r="A26" t="s">
        <v>28</v>
      </c>
      <c r="C26" t="s">
        <v>47</v>
      </c>
      <c r="D26" s="4">
        <v>4</v>
      </c>
      <c r="E26" s="4">
        <v>5</v>
      </c>
      <c r="F26" s="4">
        <v>4</v>
      </c>
      <c r="G26" s="4">
        <v>4</v>
      </c>
      <c r="H26" s="4">
        <v>4</v>
      </c>
      <c r="I26" s="4">
        <v>4</v>
      </c>
      <c r="J26" s="4">
        <v>4</v>
      </c>
    </row>
    <row r="27" spans="1:10" x14ac:dyDescent="0.3">
      <c r="A27" t="s">
        <v>28</v>
      </c>
      <c r="C27" t="s">
        <v>48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</row>
    <row r="28" spans="1:10" x14ac:dyDescent="0.3">
      <c r="A28" t="s">
        <v>28</v>
      </c>
      <c r="C28" t="s">
        <v>49</v>
      </c>
      <c r="D28" s="4">
        <v>4</v>
      </c>
      <c r="E28" s="4">
        <v>4</v>
      </c>
      <c r="F28" s="4">
        <v>4</v>
      </c>
      <c r="G28" s="4">
        <v>4</v>
      </c>
      <c r="H28" s="4">
        <v>4</v>
      </c>
      <c r="I28" s="4">
        <v>4</v>
      </c>
      <c r="J28" s="4">
        <v>4</v>
      </c>
    </row>
    <row r="29" spans="1:10" x14ac:dyDescent="0.3">
      <c r="A29" t="s">
        <v>28</v>
      </c>
      <c r="C29" t="s">
        <v>50</v>
      </c>
      <c r="D29" s="4">
        <v>4</v>
      </c>
      <c r="E29" s="4">
        <v>4</v>
      </c>
      <c r="F29" s="4">
        <v>4</v>
      </c>
      <c r="G29" s="4">
        <v>4</v>
      </c>
      <c r="H29" s="4">
        <v>4</v>
      </c>
      <c r="I29" s="4">
        <v>4</v>
      </c>
      <c r="J29" s="4">
        <v>4</v>
      </c>
    </row>
    <row r="30" spans="1:10" x14ac:dyDescent="0.3">
      <c r="A30" t="s">
        <v>28</v>
      </c>
      <c r="C30" t="s">
        <v>51</v>
      </c>
      <c r="D30" s="4">
        <v>3</v>
      </c>
      <c r="E30" s="4">
        <v>2</v>
      </c>
      <c r="F30" s="4">
        <v>3</v>
      </c>
      <c r="G30" s="4">
        <v>1</v>
      </c>
      <c r="H30" s="4">
        <v>2</v>
      </c>
      <c r="I30" s="4">
        <v>2</v>
      </c>
      <c r="J30" s="4">
        <v>4</v>
      </c>
    </row>
    <row r="31" spans="1:10" x14ac:dyDescent="0.3">
      <c r="A31" t="s">
        <v>28</v>
      </c>
      <c r="C31" t="s">
        <v>52</v>
      </c>
      <c r="D31" s="4">
        <v>1</v>
      </c>
      <c r="E31" s="4">
        <v>0</v>
      </c>
      <c r="F31" s="4">
        <v>1</v>
      </c>
      <c r="G31" s="4">
        <v>0</v>
      </c>
      <c r="H31" s="4">
        <v>0</v>
      </c>
      <c r="I31" s="4">
        <v>0</v>
      </c>
      <c r="J31" s="4">
        <v>3</v>
      </c>
    </row>
    <row r="32" spans="1:10" x14ac:dyDescent="0.3">
      <c r="A32" t="s">
        <v>28</v>
      </c>
      <c r="C32" t="s">
        <v>53</v>
      </c>
      <c r="D32" s="4">
        <v>11</v>
      </c>
      <c r="E32" s="4">
        <v>10</v>
      </c>
      <c r="F32" s="4">
        <v>11</v>
      </c>
      <c r="G32" s="4">
        <v>10</v>
      </c>
      <c r="H32" s="4">
        <v>10</v>
      </c>
      <c r="I32" s="4">
        <v>9</v>
      </c>
      <c r="J32" s="4">
        <v>10</v>
      </c>
    </row>
    <row r="33" spans="1:10" x14ac:dyDescent="0.3">
      <c r="A33" t="s">
        <v>28</v>
      </c>
      <c r="C33" t="s">
        <v>11</v>
      </c>
      <c r="D33" s="4">
        <v>10</v>
      </c>
      <c r="E33" s="4">
        <v>6</v>
      </c>
      <c r="F33" s="4">
        <v>5</v>
      </c>
      <c r="G33" s="4">
        <v>7</v>
      </c>
      <c r="H33" s="4">
        <v>5</v>
      </c>
      <c r="I33" s="4">
        <v>5</v>
      </c>
      <c r="J33" s="4">
        <v>8</v>
      </c>
    </row>
    <row r="34" spans="1:10" x14ac:dyDescent="0.3">
      <c r="A34" t="s">
        <v>28</v>
      </c>
      <c r="C34" t="s">
        <v>54</v>
      </c>
      <c r="D34" s="4">
        <v>0</v>
      </c>
      <c r="E34" s="4">
        <v>1</v>
      </c>
      <c r="F34" s="4">
        <v>1</v>
      </c>
      <c r="G34" s="4">
        <v>1</v>
      </c>
      <c r="H34" s="4">
        <v>0</v>
      </c>
      <c r="I34" s="4">
        <v>0</v>
      </c>
      <c r="J34" s="4">
        <v>1</v>
      </c>
    </row>
    <row r="35" spans="1:10" x14ac:dyDescent="0.3">
      <c r="A35" t="s">
        <v>28</v>
      </c>
      <c r="C35" t="s">
        <v>16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</row>
    <row r="36" spans="1:10" x14ac:dyDescent="0.3">
      <c r="A36" t="s">
        <v>28</v>
      </c>
      <c r="C36" t="s">
        <v>17</v>
      </c>
      <c r="D36" s="4">
        <v>1</v>
      </c>
      <c r="E36" s="4">
        <v>1</v>
      </c>
      <c r="F36" s="4">
        <v>1</v>
      </c>
      <c r="G36" s="4">
        <v>1</v>
      </c>
      <c r="H36" s="4">
        <v>1</v>
      </c>
      <c r="I36" s="4">
        <v>1</v>
      </c>
      <c r="J36" s="4">
        <v>1</v>
      </c>
    </row>
    <row r="37" spans="1:10" x14ac:dyDescent="0.3">
      <c r="A37" t="s">
        <v>28</v>
      </c>
      <c r="C37" t="s">
        <v>18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</row>
    <row r="38" spans="1:10" x14ac:dyDescent="0.3">
      <c r="A38" t="s">
        <v>28</v>
      </c>
      <c r="C38" t="s">
        <v>55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7</v>
      </c>
    </row>
    <row r="39" spans="1:10" x14ac:dyDescent="0.3">
      <c r="A39" t="s">
        <v>28</v>
      </c>
      <c r="C39" t="s">
        <v>23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</row>
    <row r="40" spans="1:10" x14ac:dyDescent="0.3">
      <c r="A40" t="s">
        <v>28</v>
      </c>
      <c r="C40" t="s">
        <v>19</v>
      </c>
      <c r="D40" s="4">
        <v>2</v>
      </c>
      <c r="E40" s="4">
        <v>2</v>
      </c>
      <c r="F40" s="4">
        <v>2</v>
      </c>
      <c r="G40" s="4">
        <v>2</v>
      </c>
      <c r="H40" s="4">
        <v>1</v>
      </c>
      <c r="I40" s="4">
        <v>1</v>
      </c>
      <c r="J40" s="4">
        <v>2</v>
      </c>
    </row>
    <row r="41" spans="1:10" x14ac:dyDescent="0.3">
      <c r="A41" t="s">
        <v>28</v>
      </c>
      <c r="C41" t="s">
        <v>56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</row>
    <row r="42" spans="1:10" x14ac:dyDescent="0.3">
      <c r="A42" t="s">
        <v>28</v>
      </c>
      <c r="C42" t="s">
        <v>57</v>
      </c>
      <c r="D42" s="4">
        <v>1</v>
      </c>
      <c r="E42" s="4">
        <v>1</v>
      </c>
      <c r="F42" s="4">
        <v>1</v>
      </c>
      <c r="G42" s="4">
        <v>1</v>
      </c>
      <c r="H42" s="4">
        <v>1</v>
      </c>
      <c r="I42" s="4">
        <v>1</v>
      </c>
      <c r="J42" s="4">
        <v>1</v>
      </c>
    </row>
    <row r="43" spans="1:10" x14ac:dyDescent="0.3">
      <c r="A43" t="s">
        <v>28</v>
      </c>
      <c r="C43" t="s">
        <v>58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</row>
    <row r="44" spans="1:10" x14ac:dyDescent="0.3">
      <c r="A44" t="s">
        <v>28</v>
      </c>
      <c r="C44" t="s">
        <v>59</v>
      </c>
      <c r="D44" s="4">
        <v>1</v>
      </c>
      <c r="E44" s="4">
        <v>1</v>
      </c>
      <c r="F44" s="4">
        <v>1</v>
      </c>
      <c r="G44" s="4">
        <v>1</v>
      </c>
      <c r="H44" s="4">
        <v>1</v>
      </c>
      <c r="I44" s="4">
        <v>0</v>
      </c>
      <c r="J44" s="4">
        <v>0</v>
      </c>
    </row>
    <row r="45" spans="1:10" x14ac:dyDescent="0.3">
      <c r="A45" t="s">
        <v>28</v>
      </c>
      <c r="C45" t="s">
        <v>60</v>
      </c>
      <c r="D45" s="4">
        <v>20</v>
      </c>
      <c r="E45" s="4">
        <v>12</v>
      </c>
      <c r="F45" s="4">
        <v>16</v>
      </c>
      <c r="G45" s="4">
        <v>12</v>
      </c>
      <c r="H45" s="4">
        <v>16</v>
      </c>
      <c r="I45" s="4">
        <v>11</v>
      </c>
      <c r="J45" s="4">
        <v>27</v>
      </c>
    </row>
    <row r="46" spans="1:10" x14ac:dyDescent="0.3">
      <c r="A46" t="s">
        <v>28</v>
      </c>
      <c r="C46" t="s">
        <v>61</v>
      </c>
      <c r="D46" s="4">
        <v>21</v>
      </c>
      <c r="E46" s="4">
        <v>17</v>
      </c>
      <c r="F46" s="4">
        <v>19</v>
      </c>
      <c r="G46" s="4">
        <v>22</v>
      </c>
      <c r="H46" s="4">
        <v>21</v>
      </c>
      <c r="I46" s="4">
        <v>21</v>
      </c>
      <c r="J46" s="4">
        <v>24</v>
      </c>
    </row>
    <row r="47" spans="1:10" x14ac:dyDescent="0.3">
      <c r="A47" t="s">
        <v>28</v>
      </c>
      <c r="C47" t="s">
        <v>20</v>
      </c>
      <c r="D47" s="4">
        <v>7</v>
      </c>
      <c r="E47" s="4">
        <v>5</v>
      </c>
      <c r="F47" s="4">
        <v>6</v>
      </c>
      <c r="G47" s="4">
        <v>6</v>
      </c>
      <c r="H47" s="4">
        <v>6</v>
      </c>
      <c r="I47" s="4">
        <v>5</v>
      </c>
      <c r="J47" s="4">
        <v>9</v>
      </c>
    </row>
    <row r="48" spans="1:10" x14ac:dyDescent="0.3">
      <c r="A48" t="s">
        <v>28</v>
      </c>
      <c r="C48" t="s">
        <v>62</v>
      </c>
      <c r="D48" s="4">
        <v>58</v>
      </c>
      <c r="E48" s="4">
        <v>54</v>
      </c>
      <c r="F48" s="4">
        <v>51</v>
      </c>
      <c r="G48" s="4">
        <v>52</v>
      </c>
      <c r="H48" s="4">
        <v>54</v>
      </c>
      <c r="I48" s="4">
        <v>48</v>
      </c>
      <c r="J48" s="4">
        <v>53</v>
      </c>
    </row>
    <row r="49" spans="1:10" x14ac:dyDescent="0.3">
      <c r="A49" t="s">
        <v>28</v>
      </c>
      <c r="C49" t="s">
        <v>63</v>
      </c>
      <c r="D49" s="4">
        <v>1</v>
      </c>
      <c r="E49" s="4">
        <v>1</v>
      </c>
      <c r="F49" s="4">
        <v>1</v>
      </c>
      <c r="G49" s="4">
        <v>2</v>
      </c>
      <c r="H49" s="4">
        <v>2</v>
      </c>
      <c r="I49" s="4">
        <v>1</v>
      </c>
      <c r="J49" s="4">
        <v>1</v>
      </c>
    </row>
    <row r="50" spans="1:10" x14ac:dyDescent="0.3">
      <c r="A50" t="s">
        <v>28</v>
      </c>
      <c r="C50" t="s">
        <v>64</v>
      </c>
      <c r="D50" s="4">
        <v>2</v>
      </c>
      <c r="E50" s="4">
        <v>1</v>
      </c>
      <c r="F50" s="4">
        <v>0</v>
      </c>
      <c r="G50" s="4">
        <v>2</v>
      </c>
      <c r="H50" s="4">
        <v>0</v>
      </c>
      <c r="I50" s="4">
        <v>1</v>
      </c>
      <c r="J50" s="4">
        <v>2</v>
      </c>
    </row>
    <row r="51" spans="1:10" x14ac:dyDescent="0.3">
      <c r="A51" t="s">
        <v>28</v>
      </c>
      <c r="C51" t="s">
        <v>65</v>
      </c>
      <c r="D51" s="4">
        <v>1</v>
      </c>
      <c r="E51" s="4">
        <v>1</v>
      </c>
      <c r="F51" s="4">
        <v>1</v>
      </c>
      <c r="G51" s="4">
        <v>1</v>
      </c>
      <c r="H51" s="4">
        <v>1</v>
      </c>
      <c r="I51" s="4">
        <v>0</v>
      </c>
      <c r="J51" s="4">
        <v>1</v>
      </c>
    </row>
    <row r="52" spans="1:10" x14ac:dyDescent="0.3">
      <c r="A52" t="s">
        <v>28</v>
      </c>
      <c r="C52" t="s">
        <v>66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3</v>
      </c>
    </row>
    <row r="53" spans="1:10" x14ac:dyDescent="0.3">
      <c r="A53" t="s">
        <v>28</v>
      </c>
      <c r="C53" t="s">
        <v>67</v>
      </c>
      <c r="D53" s="4">
        <v>0</v>
      </c>
      <c r="E53" s="4">
        <v>0</v>
      </c>
      <c r="F53" s="4">
        <v>0</v>
      </c>
      <c r="G53" s="4">
        <v>2</v>
      </c>
      <c r="H53" s="4">
        <v>1</v>
      </c>
      <c r="I53" s="4">
        <v>2</v>
      </c>
      <c r="J53" s="4">
        <v>5</v>
      </c>
    </row>
    <row r="54" spans="1:10" x14ac:dyDescent="0.3">
      <c r="A54" t="s">
        <v>28</v>
      </c>
      <c r="C54" t="s">
        <v>68</v>
      </c>
      <c r="D54" s="4">
        <v>0</v>
      </c>
      <c r="E54" s="4">
        <v>0</v>
      </c>
      <c r="F54" s="4">
        <v>0</v>
      </c>
      <c r="G54" s="4">
        <v>6</v>
      </c>
      <c r="H54" s="4">
        <v>5</v>
      </c>
      <c r="I54" s="4">
        <v>6</v>
      </c>
      <c r="J54" s="4">
        <v>8</v>
      </c>
    </row>
    <row r="55" spans="1:10" x14ac:dyDescent="0.3">
      <c r="A55" t="s">
        <v>28</v>
      </c>
      <c r="C55" t="s">
        <v>69</v>
      </c>
      <c r="D55" s="4">
        <v>0</v>
      </c>
      <c r="E55" s="4">
        <v>0</v>
      </c>
      <c r="F55" s="4">
        <v>0</v>
      </c>
      <c r="G55" s="4">
        <v>3</v>
      </c>
      <c r="H55" s="4">
        <v>1</v>
      </c>
      <c r="I55" s="4">
        <v>3</v>
      </c>
      <c r="J55" s="4">
        <v>7</v>
      </c>
    </row>
    <row r="56" spans="1:10" x14ac:dyDescent="0.3">
      <c r="A56" t="s">
        <v>28</v>
      </c>
      <c r="C56" t="s">
        <v>70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</row>
    <row r="57" spans="1:10" x14ac:dyDescent="0.3">
      <c r="A57" t="s">
        <v>28</v>
      </c>
      <c r="C57" t="s">
        <v>12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</row>
    <row r="58" spans="1:10" x14ac:dyDescent="0.3">
      <c r="A58" t="s">
        <v>28</v>
      </c>
      <c r="C58" t="s">
        <v>24</v>
      </c>
      <c r="D58" s="4">
        <v>0</v>
      </c>
      <c r="E58" s="4">
        <v>1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</row>
    <row r="59" spans="1:10" x14ac:dyDescent="0.3">
      <c r="A59" t="s">
        <v>28</v>
      </c>
      <c r="C59" t="s">
        <v>25</v>
      </c>
      <c r="D59" s="4">
        <v>0</v>
      </c>
      <c r="E59" s="4">
        <v>1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</row>
    <row r="60" spans="1:10" x14ac:dyDescent="0.3">
      <c r="A60" t="s">
        <v>28</v>
      </c>
      <c r="C60" t="s">
        <v>26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</row>
    <row r="61" spans="1:10" x14ac:dyDescent="0.3">
      <c r="A61" t="s">
        <v>28</v>
      </c>
      <c r="C61" t="s">
        <v>27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</row>
    <row r="62" spans="1:10" x14ac:dyDescent="0.3">
      <c r="A62" t="s">
        <v>28</v>
      </c>
      <c r="C62" t="s">
        <v>71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</row>
    <row r="63" spans="1:10" x14ac:dyDescent="0.3">
      <c r="A63" t="s">
        <v>28</v>
      </c>
      <c r="C63" t="s">
        <v>21</v>
      </c>
      <c r="D63" s="4">
        <v>2</v>
      </c>
      <c r="E63" s="4">
        <v>2</v>
      </c>
      <c r="F63" s="4">
        <v>2</v>
      </c>
      <c r="G63" s="4">
        <v>3</v>
      </c>
      <c r="H63" s="4">
        <v>2</v>
      </c>
      <c r="I63" s="4">
        <v>3</v>
      </c>
      <c r="J63" s="4">
        <v>3</v>
      </c>
    </row>
    <row r="64" spans="1:10" x14ac:dyDescent="0.3">
      <c r="A64" t="s">
        <v>28</v>
      </c>
      <c r="C64" t="s">
        <v>22</v>
      </c>
      <c r="D64" s="4">
        <v>1</v>
      </c>
      <c r="E64" s="4">
        <v>0</v>
      </c>
      <c r="F64" s="4">
        <v>0</v>
      </c>
      <c r="G64" s="4">
        <v>2</v>
      </c>
      <c r="H64" s="4">
        <v>0</v>
      </c>
      <c r="I64" s="4">
        <v>1</v>
      </c>
      <c r="J64" s="4">
        <v>2</v>
      </c>
    </row>
    <row r="65" spans="1:10" x14ac:dyDescent="0.3">
      <c r="A65" t="s">
        <v>28</v>
      </c>
      <c r="C65" t="s">
        <v>72</v>
      </c>
      <c r="D65" s="4">
        <v>1</v>
      </c>
      <c r="E65" s="4">
        <v>1</v>
      </c>
      <c r="F65" s="4">
        <v>2</v>
      </c>
      <c r="G65" s="4">
        <v>1</v>
      </c>
      <c r="H65" s="4">
        <v>1</v>
      </c>
      <c r="I65" s="4">
        <v>2</v>
      </c>
      <c r="J65" s="4">
        <v>2</v>
      </c>
    </row>
    <row r="66" spans="1:10" x14ac:dyDescent="0.3">
      <c r="A66" t="s">
        <v>28</v>
      </c>
      <c r="C66" t="s">
        <v>73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</row>
    <row r="67" spans="1:10" x14ac:dyDescent="0.3">
      <c r="A67" t="s">
        <v>28</v>
      </c>
      <c r="C67" t="s">
        <v>74</v>
      </c>
      <c r="D67" s="4">
        <v>2</v>
      </c>
      <c r="E67" s="4">
        <v>1</v>
      </c>
      <c r="F67" s="4">
        <v>1</v>
      </c>
      <c r="G67" s="4">
        <v>2</v>
      </c>
      <c r="H67" s="4">
        <v>2</v>
      </c>
      <c r="I67" s="4">
        <v>2</v>
      </c>
      <c r="J67" s="4">
        <v>2</v>
      </c>
    </row>
    <row r="68" spans="1:10" x14ac:dyDescent="0.3">
      <c r="A68" t="s">
        <v>28</v>
      </c>
      <c r="C68" t="s">
        <v>75</v>
      </c>
      <c r="D68" s="4">
        <v>1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</row>
    <row r="69" spans="1:10" x14ac:dyDescent="0.3">
      <c r="A69" t="s">
        <v>28</v>
      </c>
      <c r="C69" t="s">
        <v>76</v>
      </c>
      <c r="D69" s="4">
        <v>2</v>
      </c>
      <c r="E69" s="4">
        <v>2</v>
      </c>
      <c r="F69" s="4">
        <v>2</v>
      </c>
      <c r="G69" s="4">
        <v>2</v>
      </c>
      <c r="H69" s="4">
        <v>2</v>
      </c>
      <c r="I69" s="4">
        <v>2</v>
      </c>
      <c r="J69" s="4">
        <v>2</v>
      </c>
    </row>
    <row r="70" spans="1:10" x14ac:dyDescent="0.3">
      <c r="A70" t="s">
        <v>28</v>
      </c>
      <c r="C70" t="s">
        <v>77</v>
      </c>
      <c r="D70" s="4">
        <v>5</v>
      </c>
      <c r="E70" s="4">
        <v>5</v>
      </c>
      <c r="F70" s="4">
        <v>6</v>
      </c>
      <c r="G70" s="4">
        <v>9</v>
      </c>
      <c r="H70" s="4">
        <v>6</v>
      </c>
      <c r="I70" s="4">
        <v>4</v>
      </c>
      <c r="J70" s="4">
        <v>7</v>
      </c>
    </row>
    <row r="71" spans="1:10" x14ac:dyDescent="0.3">
      <c r="A71" t="s">
        <v>28</v>
      </c>
      <c r="C71" t="s">
        <v>78</v>
      </c>
      <c r="D71" s="4">
        <v>8</v>
      </c>
      <c r="E71" s="4">
        <v>6</v>
      </c>
      <c r="F71" s="4">
        <v>5</v>
      </c>
      <c r="G71" s="4">
        <v>6</v>
      </c>
      <c r="H71" s="4">
        <v>5</v>
      </c>
      <c r="I71" s="4">
        <v>5</v>
      </c>
      <c r="J71" s="4">
        <v>8</v>
      </c>
    </row>
    <row r="72" spans="1:10" x14ac:dyDescent="0.3">
      <c r="A72" t="s">
        <v>28</v>
      </c>
      <c r="C72" t="s">
        <v>79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</row>
    <row r="73" spans="1:10" x14ac:dyDescent="0.3">
      <c r="A73" t="s">
        <v>28</v>
      </c>
      <c r="C73" t="s">
        <v>80</v>
      </c>
      <c r="D73" s="4">
        <v>18</v>
      </c>
      <c r="E73" s="4">
        <v>19</v>
      </c>
      <c r="F73" s="4">
        <v>16</v>
      </c>
      <c r="G73" s="4">
        <v>16</v>
      </c>
      <c r="H73" s="4">
        <v>14</v>
      </c>
      <c r="I73" s="4">
        <v>13</v>
      </c>
      <c r="J73" s="4">
        <v>21</v>
      </c>
    </row>
    <row r="74" spans="1:10" x14ac:dyDescent="0.3"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3">
      <c r="D75">
        <v>8</v>
      </c>
      <c r="E75">
        <v>8</v>
      </c>
      <c r="F75">
        <v>7</v>
      </c>
      <c r="G75">
        <v>7</v>
      </c>
      <c r="H75">
        <v>9</v>
      </c>
      <c r="I75">
        <v>8</v>
      </c>
      <c r="J75">
        <v>10</v>
      </c>
    </row>
    <row r="76" spans="1:10" x14ac:dyDescent="0.3"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3"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3"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</sheetData>
  <autoFilter ref="A4:C127" xr:uid="{00000000-0009-0000-0000-000003000000}"/>
  <mergeCells count="3">
    <mergeCell ref="A1:A2"/>
    <mergeCell ref="B1:B2"/>
    <mergeCell ref="C1:C2"/>
  </mergeCells>
  <conditionalFormatting sqref="J5:J73">
    <cfRule type="dataBar" priority="1">
      <dataBar>
        <cfvo type="num" val="0"/>
        <cfvo type="max"/>
        <color rgb="FF4F81BD"/>
      </dataBar>
    </cfRule>
  </conditionalFormatting>
  <conditionalFormatting sqref="D5:I73">
    <cfRule type="dataBar" priority="12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93163-D014-4CBA-A3D0-D38ACF957BD2}">
  <dimension ref="A1:AD77"/>
  <sheetViews>
    <sheetView workbookViewId="0">
      <pane xSplit="3" ySplit="4" topLeftCell="D5" activePane="bottomRight" state="frozen"/>
      <selection activeCell="D3" sqref="D3:AB3"/>
      <selection pane="topRight" activeCell="D3" sqref="D3:AB3"/>
      <selection pane="bottomLeft" activeCell="D3" sqref="D3:AB3"/>
      <selection pane="bottomRight" activeCell="D1" sqref="D1:Q1048576"/>
    </sheetView>
  </sheetViews>
  <sheetFormatPr defaultRowHeight="14.4" x14ac:dyDescent="0.3"/>
  <cols>
    <col min="1" max="1" width="18.5546875" bestFit="1" customWidth="1"/>
    <col min="2" max="2" width="12.33203125" bestFit="1" customWidth="1"/>
    <col min="3" max="3" width="30.77734375" bestFit="1" customWidth="1"/>
    <col min="4" max="11" width="5.88671875" customWidth="1"/>
  </cols>
  <sheetData>
    <row r="1" spans="1:30" ht="18" customHeight="1" x14ac:dyDescent="0.3">
      <c r="A1" s="5" t="s">
        <v>0</v>
      </c>
      <c r="B1" s="5" t="s">
        <v>1</v>
      </c>
      <c r="C1" s="5" t="s">
        <v>2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</v>
      </c>
      <c r="I1" s="1" t="s">
        <v>4</v>
      </c>
      <c r="J1" s="1" t="s">
        <v>5</v>
      </c>
      <c r="K1" s="1" t="s">
        <v>6</v>
      </c>
    </row>
    <row r="2" spans="1:30" ht="18" customHeight="1" x14ac:dyDescent="0.3">
      <c r="A2" s="5"/>
      <c r="B2" s="5"/>
      <c r="C2" s="5"/>
      <c r="D2" s="1">
        <v>15</v>
      </c>
      <c r="E2" s="1">
        <v>16</v>
      </c>
      <c r="F2" s="1">
        <v>17</v>
      </c>
      <c r="G2" s="1">
        <v>18</v>
      </c>
      <c r="H2" s="1">
        <v>19</v>
      </c>
      <c r="I2" s="1">
        <v>20</v>
      </c>
      <c r="J2" s="1">
        <v>21</v>
      </c>
      <c r="K2" s="1">
        <v>22</v>
      </c>
      <c r="O2">
        <v>561</v>
      </c>
      <c r="P2">
        <v>379</v>
      </c>
      <c r="Q2">
        <v>359</v>
      </c>
      <c r="R2">
        <v>409</v>
      </c>
      <c r="S2">
        <v>366</v>
      </c>
      <c r="T2">
        <v>355</v>
      </c>
      <c r="U2">
        <v>309</v>
      </c>
      <c r="V2">
        <v>462</v>
      </c>
      <c r="W2">
        <v>39</v>
      </c>
      <c r="X2">
        <v>61</v>
      </c>
      <c r="Y2">
        <v>62</v>
      </c>
      <c r="Z2">
        <v>30</v>
      </c>
      <c r="AA2">
        <v>20</v>
      </c>
      <c r="AB2">
        <v>19</v>
      </c>
      <c r="AC2">
        <v>34</v>
      </c>
    </row>
    <row r="3" spans="1:30" ht="18" customHeight="1" x14ac:dyDescent="0.3">
      <c r="A3" s="2" t="s">
        <v>10</v>
      </c>
      <c r="B3" s="2"/>
      <c r="C3" s="2"/>
      <c r="D3" s="3">
        <f t="shared" ref="D3:K3" si="0">SUBTOTAL(109,D5:D1048576)</f>
        <v>58</v>
      </c>
      <c r="E3" s="3">
        <v>19</v>
      </c>
      <c r="F3" s="3">
        <f t="shared" si="0"/>
        <v>119</v>
      </c>
      <c r="G3" s="3">
        <f t="shared" si="0"/>
        <v>147</v>
      </c>
      <c r="H3" s="3">
        <f t="shared" si="0"/>
        <v>127</v>
      </c>
      <c r="I3" s="3">
        <f t="shared" si="0"/>
        <v>145</v>
      </c>
      <c r="J3" s="3">
        <f t="shared" si="0"/>
        <v>107</v>
      </c>
      <c r="K3" s="3">
        <f t="shared" si="0"/>
        <v>168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296</v>
      </c>
      <c r="X3">
        <v>303</v>
      </c>
      <c r="Y3">
        <v>284</v>
      </c>
      <c r="Z3">
        <v>265</v>
      </c>
      <c r="AA3">
        <v>273</v>
      </c>
      <c r="AB3">
        <v>322</v>
      </c>
      <c r="AC3">
        <v>474</v>
      </c>
    </row>
    <row r="4" spans="1:30" ht="18" customHeight="1" x14ac:dyDescent="0.3">
      <c r="A4" s="1" t="s">
        <v>0</v>
      </c>
      <c r="B4" s="1" t="s">
        <v>1</v>
      </c>
      <c r="C4" s="1" t="s">
        <v>2</v>
      </c>
      <c r="D4" s="1" t="s">
        <v>81</v>
      </c>
      <c r="E4" s="1" t="s">
        <v>82</v>
      </c>
      <c r="F4" s="1" t="s">
        <v>83</v>
      </c>
      <c r="G4" s="1" t="s">
        <v>84</v>
      </c>
      <c r="H4" s="1" t="s">
        <v>85</v>
      </c>
      <c r="I4" s="1" t="s">
        <v>86</v>
      </c>
      <c r="J4" s="1" t="s">
        <v>87</v>
      </c>
      <c r="K4" s="1" t="s">
        <v>88</v>
      </c>
      <c r="O4">
        <v>561</v>
      </c>
      <c r="P4">
        <v>379</v>
      </c>
      <c r="Q4">
        <v>359</v>
      </c>
      <c r="R4">
        <v>409</v>
      </c>
      <c r="S4">
        <v>366</v>
      </c>
      <c r="T4">
        <v>355</v>
      </c>
      <c r="U4">
        <v>309</v>
      </c>
      <c r="V4">
        <v>462</v>
      </c>
      <c r="W4">
        <v>335</v>
      </c>
      <c r="X4">
        <v>364</v>
      </c>
      <c r="Y4">
        <v>346</v>
      </c>
      <c r="Z4">
        <v>295</v>
      </c>
      <c r="AA4">
        <v>293</v>
      </c>
      <c r="AB4">
        <v>341</v>
      </c>
      <c r="AC4">
        <v>508</v>
      </c>
      <c r="AD4">
        <f>SUM(O4:AC4)</f>
        <v>5682</v>
      </c>
    </row>
    <row r="5" spans="1:30" x14ac:dyDescent="0.3">
      <c r="A5" t="s">
        <v>28</v>
      </c>
      <c r="C5" t="s">
        <v>29</v>
      </c>
      <c r="D5" s="4"/>
      <c r="E5" s="4"/>
      <c r="F5" s="4"/>
      <c r="G5" s="4"/>
      <c r="H5" s="4"/>
      <c r="I5" s="4">
        <v>1</v>
      </c>
      <c r="J5" s="4"/>
      <c r="K5" s="4"/>
    </row>
    <row r="6" spans="1:30" x14ac:dyDescent="0.3">
      <c r="A6" t="s">
        <v>28</v>
      </c>
      <c r="C6" t="s">
        <v>30</v>
      </c>
      <c r="D6" s="4">
        <v>1</v>
      </c>
      <c r="E6" s="4"/>
      <c r="F6" s="4"/>
      <c r="G6" s="4"/>
      <c r="H6" s="4">
        <v>1</v>
      </c>
      <c r="I6" s="4"/>
      <c r="J6" s="4"/>
      <c r="K6" s="4"/>
    </row>
    <row r="7" spans="1:30" x14ac:dyDescent="0.3">
      <c r="A7" t="s">
        <v>28</v>
      </c>
      <c r="C7" t="s">
        <v>31</v>
      </c>
      <c r="D7" s="4"/>
      <c r="E7" s="4"/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</row>
    <row r="8" spans="1:30" x14ac:dyDescent="0.3">
      <c r="A8" t="s">
        <v>28</v>
      </c>
      <c r="C8" t="s">
        <v>32</v>
      </c>
      <c r="D8" s="4">
        <v>1</v>
      </c>
      <c r="E8" s="4">
        <v>2</v>
      </c>
      <c r="F8" s="4">
        <v>2</v>
      </c>
      <c r="G8" s="4">
        <v>2</v>
      </c>
      <c r="H8" s="4">
        <v>2</v>
      </c>
      <c r="I8" s="4">
        <v>2</v>
      </c>
      <c r="J8" s="4"/>
      <c r="K8" s="4"/>
    </row>
    <row r="9" spans="1:30" x14ac:dyDescent="0.3">
      <c r="A9" t="s">
        <v>28</v>
      </c>
      <c r="C9" t="s">
        <v>33</v>
      </c>
      <c r="D9" s="4">
        <v>1</v>
      </c>
      <c r="E9" s="4"/>
      <c r="F9" s="4"/>
      <c r="G9" s="4"/>
      <c r="H9" s="4"/>
      <c r="I9" s="4"/>
      <c r="J9" s="4">
        <v>1</v>
      </c>
      <c r="K9" s="4"/>
    </row>
    <row r="10" spans="1:30" x14ac:dyDescent="0.3">
      <c r="A10" t="s">
        <v>28</v>
      </c>
      <c r="C10" t="s">
        <v>34</v>
      </c>
      <c r="D10" s="4"/>
      <c r="E10" s="4"/>
      <c r="F10" s="4"/>
      <c r="G10" s="4"/>
      <c r="H10" s="4"/>
      <c r="I10" s="4"/>
      <c r="J10" s="4"/>
      <c r="K10" s="4"/>
    </row>
    <row r="11" spans="1:30" x14ac:dyDescent="0.3">
      <c r="A11" t="s">
        <v>28</v>
      </c>
      <c r="C11" t="s">
        <v>35</v>
      </c>
      <c r="D11" s="4"/>
      <c r="E11" s="4"/>
      <c r="F11" s="4"/>
      <c r="G11" s="4"/>
      <c r="H11" s="4"/>
      <c r="I11" s="4"/>
      <c r="J11" s="4"/>
      <c r="K11" s="4"/>
    </row>
    <row r="12" spans="1:30" x14ac:dyDescent="0.3">
      <c r="A12" t="s">
        <v>28</v>
      </c>
      <c r="C12" t="s">
        <v>36</v>
      </c>
      <c r="D12" s="4"/>
      <c r="E12" s="4"/>
      <c r="F12" s="4"/>
      <c r="G12" s="4"/>
      <c r="H12" s="4"/>
      <c r="I12" s="4"/>
      <c r="J12" s="4"/>
      <c r="K12" s="4"/>
    </row>
    <row r="13" spans="1:30" x14ac:dyDescent="0.3">
      <c r="A13" t="s">
        <v>28</v>
      </c>
      <c r="C13" t="s">
        <v>37</v>
      </c>
      <c r="D13" s="4">
        <v>2</v>
      </c>
      <c r="E13" s="4">
        <v>3</v>
      </c>
      <c r="F13" s="4">
        <v>1</v>
      </c>
      <c r="G13" s="4"/>
      <c r="H13" s="4"/>
      <c r="I13" s="4"/>
      <c r="J13" s="4"/>
      <c r="K13" s="4"/>
    </row>
    <row r="14" spans="1:30" x14ac:dyDescent="0.3">
      <c r="A14" t="s">
        <v>28</v>
      </c>
      <c r="C14" t="s">
        <v>38</v>
      </c>
      <c r="D14" s="4"/>
      <c r="E14" s="4"/>
      <c r="F14" s="4"/>
      <c r="G14" s="4">
        <v>2</v>
      </c>
      <c r="H14" s="4">
        <v>12</v>
      </c>
      <c r="I14" s="4">
        <v>16</v>
      </c>
      <c r="J14" s="4">
        <v>1</v>
      </c>
      <c r="K14" s="4">
        <v>3</v>
      </c>
    </row>
    <row r="15" spans="1:30" x14ac:dyDescent="0.3">
      <c r="A15" t="s">
        <v>28</v>
      </c>
      <c r="C15" t="s">
        <v>13</v>
      </c>
      <c r="D15" s="4">
        <v>1</v>
      </c>
      <c r="E15" s="4"/>
      <c r="F15" s="4"/>
      <c r="G15" s="4"/>
      <c r="H15" s="4">
        <v>2</v>
      </c>
      <c r="I15" s="4"/>
      <c r="J15" s="4"/>
      <c r="K15" s="4"/>
    </row>
    <row r="16" spans="1:30" x14ac:dyDescent="0.3">
      <c r="A16" t="s">
        <v>28</v>
      </c>
      <c r="C16" t="s">
        <v>14</v>
      </c>
      <c r="D16" s="4"/>
      <c r="E16" s="4"/>
      <c r="F16" s="4"/>
      <c r="G16" s="4"/>
      <c r="H16" s="4">
        <v>5</v>
      </c>
      <c r="I16" s="4"/>
      <c r="J16" s="4"/>
      <c r="K16" s="4"/>
    </row>
    <row r="17" spans="1:11" x14ac:dyDescent="0.3">
      <c r="A17" t="s">
        <v>28</v>
      </c>
      <c r="C17" t="s">
        <v>15</v>
      </c>
      <c r="D17" s="4"/>
      <c r="E17" s="4">
        <v>1</v>
      </c>
      <c r="F17" s="4"/>
      <c r="G17" s="4"/>
      <c r="H17" s="4"/>
      <c r="I17" s="4"/>
      <c r="J17" s="4"/>
      <c r="K17" s="4"/>
    </row>
    <row r="18" spans="1:11" x14ac:dyDescent="0.3">
      <c r="A18" t="s">
        <v>28</v>
      </c>
      <c r="C18" t="s">
        <v>39</v>
      </c>
      <c r="D18" s="4"/>
      <c r="E18" s="4"/>
      <c r="F18" s="4"/>
      <c r="G18" s="4"/>
      <c r="H18" s="4"/>
      <c r="I18" s="4"/>
      <c r="J18" s="4"/>
      <c r="K18" s="4"/>
    </row>
    <row r="19" spans="1:11" x14ac:dyDescent="0.3">
      <c r="A19" t="s">
        <v>28</v>
      </c>
      <c r="C19" t="s">
        <v>40</v>
      </c>
      <c r="D19" s="4"/>
      <c r="E19" s="4"/>
      <c r="F19" s="4"/>
      <c r="G19" s="4"/>
      <c r="H19" s="4"/>
      <c r="I19" s="4"/>
      <c r="J19" s="4"/>
      <c r="K19" s="4"/>
    </row>
    <row r="20" spans="1:11" x14ac:dyDescent="0.3">
      <c r="A20" t="s">
        <v>28</v>
      </c>
      <c r="C20" t="s">
        <v>41</v>
      </c>
      <c r="D20" s="4">
        <v>1</v>
      </c>
      <c r="E20" s="4">
        <v>1</v>
      </c>
      <c r="F20" s="4"/>
      <c r="G20" s="4"/>
      <c r="H20" s="4"/>
      <c r="I20" s="4"/>
      <c r="J20" s="4">
        <v>1</v>
      </c>
      <c r="K20" s="4">
        <v>1</v>
      </c>
    </row>
    <row r="21" spans="1:11" x14ac:dyDescent="0.3">
      <c r="A21" t="s">
        <v>28</v>
      </c>
      <c r="C21" t="s">
        <v>42</v>
      </c>
      <c r="D21" s="4"/>
      <c r="E21" s="4"/>
      <c r="F21" s="4"/>
      <c r="G21" s="4"/>
      <c r="H21" s="4"/>
      <c r="I21" s="4"/>
      <c r="J21" s="4"/>
      <c r="K21" s="4"/>
    </row>
    <row r="22" spans="1:11" x14ac:dyDescent="0.3">
      <c r="A22" t="s">
        <v>28</v>
      </c>
      <c r="C22" t="s">
        <v>43</v>
      </c>
      <c r="D22" s="4"/>
      <c r="E22" s="4"/>
      <c r="F22" s="4"/>
      <c r="G22" s="4"/>
      <c r="H22" s="4"/>
      <c r="I22" s="4"/>
      <c r="J22" s="4"/>
      <c r="K22" s="4"/>
    </row>
    <row r="23" spans="1:11" x14ac:dyDescent="0.3">
      <c r="A23" t="s">
        <v>28</v>
      </c>
      <c r="C23" t="s">
        <v>44</v>
      </c>
      <c r="D23" s="4"/>
      <c r="E23" s="4">
        <v>1</v>
      </c>
      <c r="F23" s="4"/>
      <c r="G23" s="4"/>
      <c r="H23" s="4"/>
      <c r="I23" s="4">
        <v>1</v>
      </c>
      <c r="J23" s="4">
        <v>1</v>
      </c>
      <c r="K23" s="4">
        <v>1</v>
      </c>
    </row>
    <row r="24" spans="1:11" x14ac:dyDescent="0.3">
      <c r="A24" t="s">
        <v>28</v>
      </c>
      <c r="C24" t="s">
        <v>45</v>
      </c>
      <c r="D24" s="4">
        <v>8</v>
      </c>
      <c r="E24" s="4">
        <v>9</v>
      </c>
      <c r="F24" s="4">
        <v>9</v>
      </c>
      <c r="G24" s="4">
        <v>10</v>
      </c>
      <c r="H24" s="4">
        <v>9</v>
      </c>
      <c r="I24" s="4">
        <v>16</v>
      </c>
      <c r="J24" s="4">
        <v>10</v>
      </c>
      <c r="K24" s="4">
        <v>19</v>
      </c>
    </row>
    <row r="25" spans="1:11" x14ac:dyDescent="0.3">
      <c r="A25" t="s">
        <v>28</v>
      </c>
      <c r="C25" t="s">
        <v>46</v>
      </c>
      <c r="D25" s="4"/>
      <c r="E25" s="4"/>
      <c r="F25" s="4"/>
      <c r="G25" s="4"/>
      <c r="H25" s="4"/>
      <c r="I25" s="4"/>
      <c r="J25" s="4"/>
      <c r="K25" s="4"/>
    </row>
    <row r="26" spans="1:11" x14ac:dyDescent="0.3">
      <c r="A26" t="s">
        <v>28</v>
      </c>
      <c r="C26" t="s">
        <v>47</v>
      </c>
      <c r="D26" s="4">
        <v>5</v>
      </c>
      <c r="E26" s="4">
        <v>6</v>
      </c>
      <c r="F26" s="4">
        <v>6</v>
      </c>
      <c r="G26" s="4">
        <v>6</v>
      </c>
      <c r="H26" s="4">
        <v>6</v>
      </c>
      <c r="I26" s="4">
        <v>8</v>
      </c>
      <c r="J26" s="4">
        <v>7</v>
      </c>
      <c r="K26" s="4">
        <v>15</v>
      </c>
    </row>
    <row r="27" spans="1:11" x14ac:dyDescent="0.3">
      <c r="A27" t="s">
        <v>28</v>
      </c>
      <c r="C27" t="s">
        <v>48</v>
      </c>
      <c r="D27" s="4"/>
      <c r="E27" s="4">
        <v>6</v>
      </c>
      <c r="F27" s="4">
        <v>6</v>
      </c>
      <c r="G27" s="4">
        <v>6</v>
      </c>
      <c r="H27" s="4">
        <v>6</v>
      </c>
      <c r="I27" s="4">
        <v>6</v>
      </c>
      <c r="J27" s="4">
        <v>6</v>
      </c>
      <c r="K27" s="4">
        <v>6</v>
      </c>
    </row>
    <row r="28" spans="1:11" x14ac:dyDescent="0.3">
      <c r="A28" t="s">
        <v>28</v>
      </c>
      <c r="C28" t="s">
        <v>49</v>
      </c>
      <c r="D28" s="4">
        <v>1</v>
      </c>
      <c r="E28" s="4">
        <v>1</v>
      </c>
      <c r="F28" s="4">
        <v>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</row>
    <row r="29" spans="1:11" x14ac:dyDescent="0.3">
      <c r="A29" t="s">
        <v>28</v>
      </c>
      <c r="C29" t="s">
        <v>50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</row>
    <row r="30" spans="1:11" x14ac:dyDescent="0.3">
      <c r="A30" t="s">
        <v>28</v>
      </c>
      <c r="C30" t="s">
        <v>51</v>
      </c>
      <c r="D30" s="4"/>
      <c r="E30" s="4"/>
      <c r="F30" s="4"/>
      <c r="G30" s="4"/>
      <c r="H30" s="4"/>
      <c r="I30" s="4">
        <v>1</v>
      </c>
      <c r="J30" s="4"/>
      <c r="K30" s="4"/>
    </row>
    <row r="31" spans="1:11" x14ac:dyDescent="0.3">
      <c r="A31" t="s">
        <v>28</v>
      </c>
      <c r="C31" t="s">
        <v>52</v>
      </c>
      <c r="D31" s="4"/>
      <c r="E31" s="4"/>
      <c r="F31" s="4">
        <v>1</v>
      </c>
      <c r="G31" s="4"/>
      <c r="H31" s="4"/>
      <c r="I31" s="4"/>
      <c r="J31" s="4"/>
      <c r="K31" s="4"/>
    </row>
    <row r="32" spans="1:11" x14ac:dyDescent="0.3">
      <c r="A32" t="s">
        <v>28</v>
      </c>
      <c r="C32" t="s">
        <v>53</v>
      </c>
      <c r="D32" s="4"/>
      <c r="E32" s="4">
        <v>1</v>
      </c>
      <c r="F32" s="4"/>
      <c r="G32" s="4"/>
      <c r="H32" s="4">
        <v>1</v>
      </c>
      <c r="I32" s="4"/>
      <c r="J32" s="4">
        <v>1</v>
      </c>
      <c r="K32" s="4">
        <v>1</v>
      </c>
    </row>
    <row r="33" spans="1:11" x14ac:dyDescent="0.3">
      <c r="A33" t="s">
        <v>28</v>
      </c>
      <c r="C33" t="s">
        <v>11</v>
      </c>
      <c r="D33" s="4"/>
      <c r="E33" s="4"/>
      <c r="F33" s="4"/>
      <c r="G33" s="4"/>
      <c r="H33" s="4"/>
      <c r="I33" s="4"/>
      <c r="J33" s="4"/>
      <c r="K33" s="4"/>
    </row>
    <row r="34" spans="1:11" x14ac:dyDescent="0.3">
      <c r="A34" t="s">
        <v>28</v>
      </c>
      <c r="C34" t="s">
        <v>54</v>
      </c>
      <c r="D34" s="4"/>
      <c r="E34" s="4"/>
      <c r="F34" s="4"/>
      <c r="G34" s="4"/>
      <c r="H34" s="4"/>
      <c r="I34" s="4"/>
      <c r="J34" s="4"/>
      <c r="K34" s="4"/>
    </row>
    <row r="35" spans="1:11" x14ac:dyDescent="0.3">
      <c r="A35" t="s">
        <v>28</v>
      </c>
      <c r="C35" t="s">
        <v>16</v>
      </c>
      <c r="D35" s="4"/>
      <c r="E35" s="4"/>
      <c r="F35" s="4"/>
      <c r="G35" s="4"/>
      <c r="H35" s="4"/>
      <c r="I35" s="4"/>
      <c r="J35" s="4"/>
      <c r="K35" s="4"/>
    </row>
    <row r="36" spans="1:11" x14ac:dyDescent="0.3">
      <c r="A36" t="s">
        <v>28</v>
      </c>
      <c r="C36" t="s">
        <v>17</v>
      </c>
      <c r="D36" s="4"/>
      <c r="E36" s="4"/>
      <c r="F36" s="4"/>
      <c r="G36" s="4"/>
      <c r="H36" s="4"/>
      <c r="I36" s="4"/>
      <c r="J36" s="4"/>
      <c r="K36" s="4"/>
    </row>
    <row r="37" spans="1:11" x14ac:dyDescent="0.3">
      <c r="A37" t="s">
        <v>28</v>
      </c>
      <c r="C37" t="s">
        <v>18</v>
      </c>
      <c r="D37" s="4"/>
      <c r="E37" s="4"/>
      <c r="F37" s="4"/>
      <c r="G37" s="4"/>
      <c r="H37" s="4"/>
      <c r="I37" s="4"/>
      <c r="J37" s="4"/>
      <c r="K37" s="4"/>
    </row>
    <row r="38" spans="1:11" x14ac:dyDescent="0.3">
      <c r="A38" t="s">
        <v>28</v>
      </c>
      <c r="C38" t="s">
        <v>55</v>
      </c>
      <c r="D38" s="4">
        <v>7</v>
      </c>
      <c r="E38" s="4">
        <v>41</v>
      </c>
      <c r="F38" s="4">
        <v>57</v>
      </c>
      <c r="G38" s="4">
        <v>48</v>
      </c>
      <c r="H38" s="4">
        <v>36</v>
      </c>
      <c r="I38" s="4">
        <v>40</v>
      </c>
      <c r="J38" s="4">
        <v>46</v>
      </c>
      <c r="K38" s="4">
        <v>85</v>
      </c>
    </row>
    <row r="39" spans="1:11" x14ac:dyDescent="0.3">
      <c r="A39" t="s">
        <v>28</v>
      </c>
      <c r="C39" t="s">
        <v>23</v>
      </c>
      <c r="D39" s="4"/>
      <c r="E39" s="4"/>
      <c r="F39" s="4"/>
      <c r="G39" s="4"/>
      <c r="H39" s="4"/>
      <c r="I39" s="4"/>
      <c r="J39" s="4"/>
      <c r="K39" s="4"/>
    </row>
    <row r="40" spans="1:11" x14ac:dyDescent="0.3">
      <c r="A40" t="s">
        <v>28</v>
      </c>
      <c r="C40" t="s">
        <v>19</v>
      </c>
      <c r="D40" s="4">
        <v>2</v>
      </c>
      <c r="E40" s="4">
        <v>1</v>
      </c>
      <c r="F40" s="4"/>
      <c r="G40" s="4"/>
      <c r="H40" s="4">
        <v>1</v>
      </c>
      <c r="I40" s="4"/>
      <c r="J40" s="4"/>
      <c r="K40" s="4">
        <v>2</v>
      </c>
    </row>
    <row r="41" spans="1:11" x14ac:dyDescent="0.3">
      <c r="A41" t="s">
        <v>28</v>
      </c>
      <c r="C41" t="s">
        <v>56</v>
      </c>
      <c r="D41" s="4"/>
      <c r="E41" s="4">
        <v>1</v>
      </c>
      <c r="F41" s="4">
        <v>1</v>
      </c>
      <c r="G41" s="4">
        <v>1</v>
      </c>
      <c r="H41" s="4">
        <v>1</v>
      </c>
      <c r="I41" s="4">
        <v>1</v>
      </c>
      <c r="J41" s="4">
        <v>1</v>
      </c>
      <c r="K41" s="4">
        <v>1</v>
      </c>
    </row>
    <row r="42" spans="1:11" x14ac:dyDescent="0.3">
      <c r="A42" t="s">
        <v>28</v>
      </c>
      <c r="C42" t="s">
        <v>57</v>
      </c>
      <c r="D42" s="4"/>
      <c r="E42" s="4"/>
      <c r="F42" s="4"/>
      <c r="G42" s="4"/>
      <c r="H42" s="4"/>
      <c r="I42" s="4"/>
      <c r="J42" s="4"/>
      <c r="K42" s="4"/>
    </row>
    <row r="43" spans="1:11" x14ac:dyDescent="0.3">
      <c r="A43" t="s">
        <v>28</v>
      </c>
      <c r="C43" t="s">
        <v>58</v>
      </c>
      <c r="D43" s="4">
        <v>1</v>
      </c>
      <c r="E43" s="4">
        <v>1</v>
      </c>
      <c r="F43" s="4">
        <v>1</v>
      </c>
      <c r="G43" s="4">
        <v>1</v>
      </c>
      <c r="H43" s="4"/>
      <c r="I43" s="4">
        <v>1</v>
      </c>
      <c r="J43" s="4">
        <v>1</v>
      </c>
      <c r="K43" s="4">
        <v>1</v>
      </c>
    </row>
    <row r="44" spans="1:11" x14ac:dyDescent="0.3">
      <c r="A44" t="s">
        <v>28</v>
      </c>
      <c r="C44" t="s">
        <v>59</v>
      </c>
      <c r="D44" s="4"/>
      <c r="E44" s="4"/>
      <c r="F44" s="4"/>
      <c r="G44" s="4"/>
      <c r="H44" s="4"/>
      <c r="I44" s="4"/>
      <c r="J44" s="4"/>
      <c r="K44" s="4"/>
    </row>
    <row r="45" spans="1:11" x14ac:dyDescent="0.3">
      <c r="A45" t="s">
        <v>28</v>
      </c>
      <c r="C45" t="s">
        <v>60</v>
      </c>
      <c r="D45" s="4">
        <v>1</v>
      </c>
      <c r="E45" s="4">
        <v>3</v>
      </c>
      <c r="F45" s="4"/>
      <c r="G45" s="4">
        <v>1</v>
      </c>
      <c r="H45" s="4"/>
      <c r="I45" s="4">
        <v>15</v>
      </c>
      <c r="J45" s="4">
        <v>3</v>
      </c>
      <c r="K45" s="4">
        <v>1</v>
      </c>
    </row>
    <row r="46" spans="1:11" x14ac:dyDescent="0.3">
      <c r="A46" t="s">
        <v>28</v>
      </c>
      <c r="C46" t="s">
        <v>61</v>
      </c>
      <c r="D46" s="4">
        <v>5</v>
      </c>
      <c r="E46" s="4">
        <v>2</v>
      </c>
      <c r="F46" s="4">
        <v>6</v>
      </c>
      <c r="G46" s="4">
        <v>8</v>
      </c>
      <c r="H46" s="4">
        <v>5</v>
      </c>
      <c r="I46" s="4">
        <v>4</v>
      </c>
      <c r="J46" s="4">
        <v>4</v>
      </c>
      <c r="K46" s="4">
        <v>6</v>
      </c>
    </row>
    <row r="47" spans="1:11" x14ac:dyDescent="0.3">
      <c r="A47" t="s">
        <v>28</v>
      </c>
      <c r="C47" t="s">
        <v>20</v>
      </c>
      <c r="D47" s="4">
        <v>3</v>
      </c>
      <c r="E47" s="4">
        <v>3</v>
      </c>
      <c r="F47" s="4">
        <v>3</v>
      </c>
      <c r="G47" s="4">
        <v>3</v>
      </c>
      <c r="H47" s="4">
        <v>5</v>
      </c>
      <c r="I47" s="4">
        <v>5</v>
      </c>
      <c r="J47" s="4">
        <v>2</v>
      </c>
      <c r="K47" s="4">
        <v>3</v>
      </c>
    </row>
    <row r="48" spans="1:11" x14ac:dyDescent="0.3">
      <c r="A48" t="s">
        <v>28</v>
      </c>
      <c r="C48" t="s">
        <v>62</v>
      </c>
      <c r="D48" s="4">
        <v>6</v>
      </c>
      <c r="E48" s="4">
        <v>1</v>
      </c>
      <c r="F48" s="4"/>
      <c r="G48" s="4">
        <v>7</v>
      </c>
      <c r="H48" s="4">
        <v>8</v>
      </c>
      <c r="I48" s="4"/>
      <c r="J48" s="4"/>
      <c r="K48" s="4"/>
    </row>
    <row r="49" spans="1:11" x14ac:dyDescent="0.3">
      <c r="A49" t="s">
        <v>28</v>
      </c>
      <c r="C49" t="s">
        <v>63</v>
      </c>
      <c r="D49" s="4"/>
      <c r="E49" s="4">
        <v>1</v>
      </c>
      <c r="F49" s="4"/>
      <c r="G49" s="4"/>
      <c r="H49" s="4"/>
      <c r="I49" s="4"/>
      <c r="J49" s="4"/>
      <c r="K49" s="4"/>
    </row>
    <row r="50" spans="1:11" x14ac:dyDescent="0.3">
      <c r="A50" t="s">
        <v>28</v>
      </c>
      <c r="C50" t="s">
        <v>64</v>
      </c>
      <c r="D50" s="4"/>
      <c r="E50" s="4"/>
      <c r="F50" s="4">
        <v>1</v>
      </c>
      <c r="G50" s="4">
        <v>1</v>
      </c>
      <c r="H50" s="4">
        <v>3</v>
      </c>
      <c r="I50" s="4"/>
      <c r="J50" s="4"/>
      <c r="K50" s="4">
        <v>1</v>
      </c>
    </row>
    <row r="51" spans="1:11" x14ac:dyDescent="0.3">
      <c r="A51" t="s">
        <v>28</v>
      </c>
      <c r="C51" t="s">
        <v>65</v>
      </c>
      <c r="D51" s="4">
        <v>1</v>
      </c>
      <c r="E51" s="4"/>
      <c r="F51" s="4"/>
      <c r="G51" s="4"/>
      <c r="H51" s="4"/>
      <c r="I51" s="4"/>
      <c r="J51" s="4">
        <v>1</v>
      </c>
      <c r="K51" s="4"/>
    </row>
    <row r="52" spans="1:11" x14ac:dyDescent="0.3">
      <c r="A52" t="s">
        <v>28</v>
      </c>
      <c r="C52" t="s">
        <v>66</v>
      </c>
      <c r="D52" s="4">
        <v>1</v>
      </c>
      <c r="E52" s="4"/>
      <c r="F52" s="4"/>
      <c r="G52" s="4">
        <v>1</v>
      </c>
      <c r="H52" s="4"/>
      <c r="I52" s="4"/>
      <c r="J52" s="4"/>
      <c r="K52" s="4">
        <v>1</v>
      </c>
    </row>
    <row r="53" spans="1:11" x14ac:dyDescent="0.3">
      <c r="A53" t="s">
        <v>28</v>
      </c>
      <c r="C53" t="s">
        <v>67</v>
      </c>
      <c r="D53" s="4">
        <v>1</v>
      </c>
      <c r="E53" s="4"/>
      <c r="F53" s="4">
        <v>2</v>
      </c>
      <c r="G53" s="4">
        <v>5</v>
      </c>
      <c r="H53" s="4"/>
      <c r="I53" s="4">
        <v>1</v>
      </c>
      <c r="J53" s="4"/>
      <c r="K53" s="4">
        <v>1</v>
      </c>
    </row>
    <row r="54" spans="1:11" x14ac:dyDescent="0.3">
      <c r="A54" t="s">
        <v>28</v>
      </c>
      <c r="C54" t="s">
        <v>68</v>
      </c>
      <c r="D54" s="4">
        <v>1</v>
      </c>
      <c r="E54" s="4"/>
      <c r="F54" s="4">
        <v>2</v>
      </c>
      <c r="G54" s="4">
        <v>9</v>
      </c>
      <c r="H54" s="4"/>
      <c r="I54" s="4">
        <v>2</v>
      </c>
      <c r="J54" s="4"/>
      <c r="K54" s="4">
        <v>2</v>
      </c>
    </row>
    <row r="55" spans="1:11" x14ac:dyDescent="0.3">
      <c r="A55" t="s">
        <v>28</v>
      </c>
      <c r="C55" t="s">
        <v>69</v>
      </c>
      <c r="D55" s="4">
        <v>2</v>
      </c>
      <c r="E55" s="4"/>
      <c r="F55" s="4">
        <v>1</v>
      </c>
      <c r="G55" s="4">
        <v>4</v>
      </c>
      <c r="H55" s="4"/>
      <c r="I55" s="4"/>
      <c r="J55" s="4"/>
      <c r="K55" s="4">
        <v>1</v>
      </c>
    </row>
    <row r="56" spans="1:11" x14ac:dyDescent="0.3">
      <c r="A56" t="s">
        <v>28</v>
      </c>
      <c r="C56" t="s">
        <v>70</v>
      </c>
      <c r="D56" s="4"/>
      <c r="E56" s="4"/>
      <c r="F56" s="4"/>
      <c r="G56" s="4"/>
      <c r="H56" s="4"/>
      <c r="I56" s="4"/>
      <c r="J56" s="4"/>
      <c r="K56" s="4"/>
    </row>
    <row r="57" spans="1:11" x14ac:dyDescent="0.3">
      <c r="A57" t="s">
        <v>28</v>
      </c>
      <c r="C57" t="s">
        <v>12</v>
      </c>
      <c r="D57" s="4"/>
      <c r="E57" s="4"/>
      <c r="F57" s="4"/>
      <c r="G57" s="4">
        <v>6</v>
      </c>
      <c r="H57" s="4">
        <v>4</v>
      </c>
      <c r="I57" s="4">
        <v>2</v>
      </c>
      <c r="J57" s="4">
        <v>5</v>
      </c>
      <c r="K57" s="4">
        <v>3</v>
      </c>
    </row>
    <row r="58" spans="1:11" x14ac:dyDescent="0.3">
      <c r="A58" t="s">
        <v>28</v>
      </c>
      <c r="C58" t="s">
        <v>24</v>
      </c>
      <c r="D58" s="4"/>
      <c r="E58" s="4"/>
      <c r="F58" s="4">
        <v>2</v>
      </c>
      <c r="G58" s="4"/>
      <c r="H58" s="4"/>
      <c r="I58" s="4"/>
      <c r="J58" s="4"/>
      <c r="K58" s="4"/>
    </row>
    <row r="59" spans="1:11" x14ac:dyDescent="0.3">
      <c r="A59" t="s">
        <v>28</v>
      </c>
      <c r="C59" t="s">
        <v>25</v>
      </c>
      <c r="D59" s="4"/>
      <c r="E59" s="4"/>
      <c r="F59" s="4"/>
      <c r="G59" s="4">
        <v>4</v>
      </c>
      <c r="H59" s="4">
        <v>4</v>
      </c>
      <c r="I59" s="4">
        <v>3</v>
      </c>
      <c r="J59" s="4">
        <v>4</v>
      </c>
      <c r="K59" s="4">
        <v>3</v>
      </c>
    </row>
    <row r="60" spans="1:11" x14ac:dyDescent="0.3">
      <c r="A60" t="s">
        <v>28</v>
      </c>
      <c r="C60" t="s">
        <v>26</v>
      </c>
      <c r="D60" s="4"/>
      <c r="E60" s="4"/>
      <c r="F60" s="4"/>
      <c r="G60" s="4"/>
      <c r="H60" s="4"/>
      <c r="I60" s="4"/>
      <c r="J60" s="4"/>
      <c r="K60" s="4"/>
    </row>
    <row r="61" spans="1:11" x14ac:dyDescent="0.3">
      <c r="A61" t="s">
        <v>28</v>
      </c>
      <c r="C61" t="s">
        <v>27</v>
      </c>
      <c r="D61" s="4"/>
      <c r="E61" s="4"/>
      <c r="F61" s="4"/>
      <c r="G61" s="4"/>
      <c r="H61" s="4"/>
      <c r="I61" s="4"/>
      <c r="J61" s="4"/>
      <c r="K61" s="4"/>
    </row>
    <row r="62" spans="1:11" x14ac:dyDescent="0.3">
      <c r="A62" t="s">
        <v>28</v>
      </c>
      <c r="C62" t="s">
        <v>71</v>
      </c>
      <c r="D62" s="4"/>
      <c r="E62" s="4"/>
      <c r="F62" s="4">
        <v>1</v>
      </c>
      <c r="G62" s="4">
        <v>1</v>
      </c>
      <c r="H62" s="4"/>
      <c r="I62" s="4"/>
      <c r="J62" s="4"/>
      <c r="K62" s="4"/>
    </row>
    <row r="63" spans="1:11" x14ac:dyDescent="0.3">
      <c r="A63" t="s">
        <v>28</v>
      </c>
      <c r="C63" t="s">
        <v>21</v>
      </c>
      <c r="D63" s="4"/>
      <c r="E63" s="4"/>
      <c r="F63" s="4"/>
      <c r="G63" s="4">
        <v>1</v>
      </c>
      <c r="H63" s="4"/>
      <c r="I63" s="4"/>
      <c r="J63" s="4"/>
      <c r="K63" s="4">
        <v>1</v>
      </c>
    </row>
    <row r="64" spans="1:11" x14ac:dyDescent="0.3">
      <c r="A64" t="s">
        <v>28</v>
      </c>
      <c r="C64" t="s">
        <v>22</v>
      </c>
      <c r="D64" s="4">
        <v>1</v>
      </c>
      <c r="E64" s="4">
        <v>2</v>
      </c>
      <c r="F64" s="4">
        <v>2</v>
      </c>
      <c r="G64" s="4">
        <v>3</v>
      </c>
      <c r="H64" s="4">
        <v>1</v>
      </c>
      <c r="I64" s="4">
        <v>1</v>
      </c>
      <c r="J64" s="4">
        <v>1</v>
      </c>
      <c r="K64" s="4">
        <v>1</v>
      </c>
    </row>
    <row r="65" spans="1:11" x14ac:dyDescent="0.3">
      <c r="A65" t="s">
        <v>28</v>
      </c>
      <c r="C65" t="s">
        <v>72</v>
      </c>
      <c r="D65" s="4">
        <v>1</v>
      </c>
      <c r="E65" s="4">
        <v>1</v>
      </c>
      <c r="F65" s="4">
        <v>2</v>
      </c>
      <c r="G65" s="4">
        <v>2</v>
      </c>
      <c r="H65" s="4">
        <v>1</v>
      </c>
      <c r="I65" s="4">
        <v>1</v>
      </c>
      <c r="J65" s="4">
        <v>1</v>
      </c>
      <c r="K65" s="4">
        <v>1</v>
      </c>
    </row>
    <row r="66" spans="1:11" x14ac:dyDescent="0.3">
      <c r="A66" t="s">
        <v>28</v>
      </c>
      <c r="C66" t="s">
        <v>73</v>
      </c>
      <c r="D66" s="4"/>
      <c r="E66" s="4">
        <v>1</v>
      </c>
      <c r="F66" s="4">
        <v>1</v>
      </c>
      <c r="G66" s="4">
        <v>1</v>
      </c>
      <c r="H66" s="4">
        <v>1</v>
      </c>
      <c r="I66" s="4">
        <v>1</v>
      </c>
      <c r="J66" s="4">
        <v>1</v>
      </c>
      <c r="K66" s="4">
        <v>1</v>
      </c>
    </row>
    <row r="67" spans="1:11" x14ac:dyDescent="0.3">
      <c r="A67" t="s">
        <v>28</v>
      </c>
      <c r="C67" t="s">
        <v>74</v>
      </c>
      <c r="D67" s="4">
        <v>1</v>
      </c>
      <c r="E67" s="4">
        <v>1</v>
      </c>
      <c r="F67" s="4">
        <v>2</v>
      </c>
      <c r="G67" s="4">
        <v>2</v>
      </c>
      <c r="H67" s="4">
        <v>1</v>
      </c>
      <c r="I67" s="4">
        <v>1</v>
      </c>
      <c r="J67" s="4"/>
      <c r="K67" s="4"/>
    </row>
    <row r="68" spans="1:11" x14ac:dyDescent="0.3">
      <c r="A68" t="s">
        <v>28</v>
      </c>
      <c r="C68" t="s">
        <v>75</v>
      </c>
      <c r="D68" s="4"/>
      <c r="E68" s="4"/>
      <c r="F68" s="4">
        <v>1</v>
      </c>
      <c r="G68" s="4">
        <v>1</v>
      </c>
      <c r="H68" s="4">
        <v>1</v>
      </c>
      <c r="I68" s="4">
        <v>1</v>
      </c>
      <c r="J68" s="4">
        <v>1</v>
      </c>
      <c r="K68" s="4">
        <v>1</v>
      </c>
    </row>
    <row r="69" spans="1:11" x14ac:dyDescent="0.3">
      <c r="A69" t="s">
        <v>28</v>
      </c>
      <c r="C69" t="s">
        <v>76</v>
      </c>
      <c r="D69" s="4"/>
      <c r="E69" s="4"/>
      <c r="F69" s="4"/>
      <c r="G69" s="4"/>
      <c r="H69" s="4"/>
      <c r="I69" s="4"/>
      <c r="J69" s="4"/>
      <c r="K69" s="4"/>
    </row>
    <row r="70" spans="1:11" x14ac:dyDescent="0.3">
      <c r="A70" t="s">
        <v>28</v>
      </c>
      <c r="C70" t="s">
        <v>77</v>
      </c>
      <c r="D70" s="4"/>
      <c r="E70" s="4">
        <v>1</v>
      </c>
      <c r="F70" s="4">
        <v>3</v>
      </c>
      <c r="G70" s="4">
        <v>2</v>
      </c>
      <c r="H70" s="4">
        <v>2</v>
      </c>
      <c r="I70" s="4">
        <v>4</v>
      </c>
      <c r="J70" s="4">
        <v>3</v>
      </c>
      <c r="K70" s="4">
        <v>1</v>
      </c>
    </row>
    <row r="71" spans="1:11" x14ac:dyDescent="0.3">
      <c r="A71" t="s">
        <v>28</v>
      </c>
      <c r="C71" t="s">
        <v>78</v>
      </c>
      <c r="D71" s="4"/>
      <c r="E71" s="4"/>
      <c r="F71" s="4"/>
      <c r="G71" s="4"/>
      <c r="H71" s="4"/>
      <c r="I71" s="4">
        <v>2</v>
      </c>
      <c r="J71" s="4"/>
      <c r="K71" s="4"/>
    </row>
    <row r="72" spans="1:11" x14ac:dyDescent="0.3">
      <c r="A72" t="s">
        <v>28</v>
      </c>
      <c r="C72" t="s">
        <v>79</v>
      </c>
      <c r="D72" s="4"/>
      <c r="E72" s="4"/>
      <c r="F72" s="4"/>
      <c r="G72" s="4"/>
      <c r="H72" s="4"/>
      <c r="I72" s="4">
        <v>2</v>
      </c>
      <c r="J72" s="4"/>
      <c r="K72" s="4"/>
    </row>
    <row r="73" spans="1:11" x14ac:dyDescent="0.3">
      <c r="A73" t="s">
        <v>28</v>
      </c>
      <c r="C73" t="s">
        <v>80</v>
      </c>
      <c r="D73" s="4"/>
      <c r="E73" s="4">
        <v>4</v>
      </c>
      <c r="F73" s="4">
        <v>1</v>
      </c>
      <c r="G73" s="4">
        <v>4</v>
      </c>
      <c r="H73" s="4">
        <v>4</v>
      </c>
      <c r="I73" s="4">
        <v>2</v>
      </c>
      <c r="J73" s="4">
        <v>1</v>
      </c>
      <c r="K73" s="4"/>
    </row>
    <row r="74" spans="1:11" x14ac:dyDescent="0.3">
      <c r="D74" s="4"/>
      <c r="E74" s="4"/>
      <c r="F74" s="4"/>
      <c r="G74" s="4"/>
      <c r="H74" s="4"/>
      <c r="I74" s="4"/>
      <c r="J74" s="4"/>
      <c r="K74" s="4"/>
    </row>
    <row r="75" spans="1:11" x14ac:dyDescent="0.3">
      <c r="D75" s="4">
        <v>2</v>
      </c>
      <c r="E75" s="4">
        <v>2</v>
      </c>
      <c r="F75" s="4">
        <v>1</v>
      </c>
      <c r="G75" s="4">
        <v>1</v>
      </c>
      <c r="H75" s="4">
        <v>1</v>
      </c>
      <c r="I75" s="4">
        <v>1</v>
      </c>
      <c r="J75" s="4"/>
      <c r="K75" s="4">
        <v>1</v>
      </c>
    </row>
    <row r="76" spans="1:11" x14ac:dyDescent="0.3">
      <c r="D76" s="4"/>
      <c r="E76" s="4"/>
      <c r="F76" s="4"/>
      <c r="G76" s="4"/>
      <c r="H76" s="4"/>
      <c r="I76" s="4"/>
      <c r="J76" s="4"/>
      <c r="K76" s="4"/>
    </row>
    <row r="77" spans="1:11" x14ac:dyDescent="0.3">
      <c r="D77" s="4"/>
      <c r="E77" s="4">
        <v>1</v>
      </c>
      <c r="F77" s="4">
        <v>1</v>
      </c>
      <c r="G77" s="4">
        <v>1</v>
      </c>
      <c r="H77" s="4">
        <v>1</v>
      </c>
      <c r="I77" s="4">
        <v>1</v>
      </c>
      <c r="J77" s="4">
        <v>1</v>
      </c>
      <c r="K77" s="4">
        <v>1</v>
      </c>
    </row>
  </sheetData>
  <autoFilter ref="A4:C87" xr:uid="{00000000-0009-0000-0000-000004000000}"/>
  <mergeCells count="3">
    <mergeCell ref="A1:A2"/>
    <mergeCell ref="B1:B2"/>
    <mergeCell ref="C1:C2"/>
  </mergeCells>
  <conditionalFormatting sqref="D5:K77">
    <cfRule type="dataBar" priority="1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HISTOGRAMA</vt:lpstr>
      <vt:lpstr>HISTOGRAMA_EXCEDENTE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Gabriel Cunha Urpia</dc:creator>
  <cp:lastModifiedBy>Joao Gabriel Cunha Urpia</cp:lastModifiedBy>
  <dcterms:created xsi:type="dcterms:W3CDTF">2026-01-27T13:10:11Z</dcterms:created>
  <dcterms:modified xsi:type="dcterms:W3CDTF">2026-03-03T12:02:54Z</dcterms:modified>
</cp:coreProperties>
</file>